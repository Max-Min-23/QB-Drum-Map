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kinoc\Desktop\"/>
    </mc:Choice>
  </mc:AlternateContent>
  <xr:revisionPtr revIDLastSave="0" documentId="13_ncr:1_{464D8FC7-A47A-4A65-95F9-537BA6F7D4F0}" xr6:coauthVersionLast="47" xr6:coauthVersionMax="47" xr10:uidLastSave="{00000000-0000-0000-0000-000000000000}"/>
  <bookViews>
    <workbookView xWindow="-120" yWindow="-120" windowWidth="29040" windowHeight="15720" activeTab="7" xr2:uid="{389F67DF-089E-4F1A-B222-586F664F965B}"/>
  </bookViews>
  <sheets>
    <sheet name="_Keyboard" sheetId="22" r:id="rId1"/>
    <sheet name="_Pitch" sheetId="2" r:id="rId2"/>
    <sheet name="_NoteHead" sheetId="28" r:id="rId3"/>
    <sheet name="_Techniq" sheetId="27" r:id="rId4"/>
    <sheet name="_Kit" sheetId="21" r:id="rId5"/>
    <sheet name="_Kit Piece" sheetId="4" r:id="rId6"/>
    <sheet name="_Articulation" sheetId="3" r:id="rId7"/>
    <sheet name="_path" sheetId="29" r:id="rId8"/>
    <sheet name="_work" sheetId="19" r:id="rId9"/>
    <sheet name="_ArticulationMap" sheetId="37" r:id="rId10"/>
    <sheet name="_template" sheetId="1" r:id="rId11"/>
    <sheet name="GM Custom" sheetId="20" r:id="rId12"/>
    <sheet name="Addictive Drums 2" sheetId="7" r:id="rId13"/>
    <sheet name="BFD3" sheetId="8" r:id="rId14"/>
    <sheet name="MODO DRUM" sheetId="24" r:id="rId15"/>
    <sheet name="SSD 5.5" sheetId="34" r:id="rId16"/>
    <sheet name="MT-Power Drum Kit 2" sheetId="35" r:id="rId17"/>
    <sheet name="GA Rock Kit" sheetId="30" r:id="rId18"/>
    <sheet name="GA Studio Kit" sheetId="31" r:id="rId19"/>
    <sheet name="GA Vintage Kit" sheetId="33" r:id="rId20"/>
    <sheet name="EZD3 Bright Room" sheetId="9" r:id="rId21"/>
    <sheet name="EZD3 Main Room" sheetId="10" r:id="rId22"/>
    <sheet name="EZD3 Tight Room" sheetId="11" r:id="rId23"/>
    <sheet name="EZX Jazz" sheetId="12" r:id="rId24"/>
    <sheet name="EZX Metal!" sheetId="13" r:id="rId25"/>
    <sheet name="SD3 CORE" sheetId="14" r:id="rId26"/>
    <sheet name="SDX Stories - iso A" sheetId="15" r:id="rId27"/>
    <sheet name="SDX Stories - iso B" sheetId="16" r:id="rId28"/>
    <sheet name="SDX Stories - Main" sheetId="17" r:id="rId29"/>
    <sheet name="SDX Hitmaker" sheetId="36" r:id="rId30"/>
    <sheet name="StudioDrummer - StadiumKit" sheetId="18" r:id="rId31"/>
  </sheets>
  <functionGroups builtInGroupCount="19"/>
  <definedNames>
    <definedName name="_xlnm._FilterDatabase" localSheetId="6" hidden="1">_Articulation!$A$1:$M$158</definedName>
    <definedName name="_xlnm._FilterDatabase" localSheetId="5" hidden="1">'_Kit Piece'!$A$1:$E$39</definedName>
    <definedName name="_xlnm._FilterDatabase" localSheetId="1" hidden="1">_Pitch!$A$1:$B$1</definedName>
    <definedName name="_xlnm._FilterDatabase" localSheetId="10" hidden="1">_template!$A$1:$G$1</definedName>
    <definedName name="_xlnm._FilterDatabase" localSheetId="8" hidden="1">_work!#REF!</definedName>
    <definedName name="_xlnm._FilterDatabase" localSheetId="12" hidden="1">'Addictive Drums 2'!$A$1:$G$129</definedName>
    <definedName name="_xlnm._FilterDatabase" localSheetId="13" hidden="1">'BFD3'!$A$1:$G$129</definedName>
    <definedName name="_xlnm._FilterDatabase" localSheetId="20" hidden="1">'EZD3 Bright Room'!$A$1:$G$129</definedName>
    <definedName name="_xlnm._FilterDatabase" localSheetId="21" hidden="1">'EZD3 Main Room'!$A$1:$G$129</definedName>
    <definedName name="_xlnm._FilterDatabase" localSheetId="22" hidden="1">'EZD3 Tight Room'!$A$1:$G$129</definedName>
    <definedName name="_xlnm._FilterDatabase" localSheetId="23" hidden="1">'EZX Jazz'!$A$1:$G$129</definedName>
    <definedName name="_xlnm._FilterDatabase" localSheetId="24" hidden="1">'EZX Metal!'!$A$1:$G$129</definedName>
    <definedName name="_xlnm._FilterDatabase" localSheetId="17" hidden="1">'GA Rock Kit'!$A$1:$G$129</definedName>
    <definedName name="_xlnm._FilterDatabase" localSheetId="18" hidden="1">'GA Studio Kit'!$A$1:$G$129</definedName>
    <definedName name="_xlnm._FilterDatabase" localSheetId="19" hidden="1">'GA Vintage Kit'!$A$1:$G$129</definedName>
    <definedName name="_xlnm._FilterDatabase" localSheetId="11" hidden="1">'GM Custom'!$A$1:$G$129</definedName>
    <definedName name="_xlnm._FilterDatabase" localSheetId="14" hidden="1">'MODO DRUM'!$A$1:$G$129</definedName>
    <definedName name="_xlnm._FilterDatabase" localSheetId="16" hidden="1">'MT-Power Drum Kit 2'!$A$1:$G$129</definedName>
    <definedName name="_xlnm._FilterDatabase" localSheetId="25" hidden="1">'SD3 CORE'!$A$1:$G$129</definedName>
    <definedName name="_xlnm._FilterDatabase" localSheetId="29" hidden="1">'SDX Hitmaker'!$A$1:$G$129</definedName>
    <definedName name="_xlnm._FilterDatabase" localSheetId="26" hidden="1">'SDX Stories - iso A'!$A$1:$G$129</definedName>
    <definedName name="_xlnm._FilterDatabase" localSheetId="27" hidden="1">'SDX Stories - iso B'!$A$1:$G$129</definedName>
    <definedName name="_xlnm._FilterDatabase" localSheetId="28" hidden="1">'SDX Stories - Main'!$A$1:$G$129</definedName>
    <definedName name="_xlnm._FilterDatabase" localSheetId="15" hidden="1">'SSD 5.5'!$A$1:$G$129</definedName>
    <definedName name="_xlnm._FilterDatabase" localSheetId="30" hidden="1">'StudioDrummer - StadiumKit'!$A$1:$G$129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1" i="36" l="1"/>
  <c r="C60" i="36"/>
  <c r="C59" i="36"/>
  <c r="C58" i="36"/>
  <c r="C57" i="36"/>
  <c r="C56" i="36"/>
  <c r="C55" i="36"/>
  <c r="C54" i="36"/>
  <c r="C53" i="36"/>
  <c r="C52" i="36"/>
  <c r="C51" i="36"/>
  <c r="C50" i="36"/>
  <c r="C49" i="36"/>
  <c r="C48" i="36"/>
  <c r="C47" i="36"/>
  <c r="C46" i="36"/>
  <c r="C45" i="36"/>
  <c r="C44" i="36"/>
  <c r="C43" i="36"/>
  <c r="C42" i="36"/>
  <c r="C41" i="36"/>
  <c r="C40" i="36"/>
  <c r="C39" i="36"/>
  <c r="C38" i="36"/>
  <c r="C37" i="36"/>
  <c r="C61" i="1"/>
  <c r="C60" i="1"/>
  <c r="C59" i="1"/>
  <c r="C58" i="1"/>
  <c r="C57" i="1"/>
  <c r="C56" i="1"/>
  <c r="C55" i="1"/>
  <c r="C54" i="1"/>
  <c r="C53" i="1"/>
  <c r="C52" i="1"/>
  <c r="C51" i="1"/>
  <c r="C50" i="1"/>
  <c r="C49" i="1"/>
  <c r="C48" i="1"/>
  <c r="C47" i="1"/>
  <c r="C46" i="1"/>
  <c r="C45" i="1"/>
  <c r="C44" i="1"/>
  <c r="C43" i="1"/>
  <c r="C42" i="1"/>
  <c r="C41" i="1"/>
  <c r="C40" i="1"/>
  <c r="C39" i="1"/>
  <c r="C38" i="1"/>
  <c r="C37" i="1"/>
  <c r="C61" i="8"/>
  <c r="C60" i="8"/>
  <c r="C59" i="8"/>
  <c r="C58" i="8"/>
  <c r="C57" i="8"/>
  <c r="C56" i="8"/>
  <c r="C55" i="8"/>
  <c r="C54" i="8"/>
  <c r="C53" i="8"/>
  <c r="C52" i="8"/>
  <c r="C51" i="8"/>
  <c r="C50" i="8"/>
  <c r="C49" i="8"/>
  <c r="C48" i="8"/>
  <c r="C47" i="8"/>
  <c r="C46" i="8"/>
  <c r="C45" i="8"/>
  <c r="C44" i="8"/>
  <c r="C43" i="8"/>
  <c r="C42" i="8"/>
  <c r="C41" i="8"/>
  <c r="C40" i="8"/>
  <c r="C39" i="8"/>
  <c r="C38" i="8"/>
  <c r="C37" i="8"/>
  <c r="C61" i="24"/>
  <c r="C60" i="24"/>
  <c r="C59" i="24"/>
  <c r="C58" i="24"/>
  <c r="C57" i="24"/>
  <c r="C56" i="24"/>
  <c r="C55" i="24"/>
  <c r="C54" i="24"/>
  <c r="C53" i="24"/>
  <c r="C52" i="24"/>
  <c r="C51" i="24"/>
  <c r="C50" i="24"/>
  <c r="C49" i="24"/>
  <c r="C48" i="24"/>
  <c r="C47" i="24"/>
  <c r="C46" i="24"/>
  <c r="C45" i="24"/>
  <c r="C44" i="24"/>
  <c r="C43" i="24"/>
  <c r="C42" i="24"/>
  <c r="C41" i="24"/>
  <c r="C40" i="24"/>
  <c r="C39" i="24"/>
  <c r="C38" i="24"/>
  <c r="C37" i="24"/>
  <c r="C61" i="34"/>
  <c r="C60" i="34"/>
  <c r="C59" i="34"/>
  <c r="C58" i="34"/>
  <c r="C57" i="34"/>
  <c r="C56" i="34"/>
  <c r="C55" i="34"/>
  <c r="C54" i="34"/>
  <c r="C53" i="34"/>
  <c r="C52" i="34"/>
  <c r="C51" i="34"/>
  <c r="C50" i="34"/>
  <c r="C49" i="34"/>
  <c r="C48" i="34"/>
  <c r="C47" i="34"/>
  <c r="C46" i="34"/>
  <c r="C45" i="34"/>
  <c r="C44" i="34"/>
  <c r="C43" i="34"/>
  <c r="C42" i="34"/>
  <c r="C41" i="34"/>
  <c r="C40" i="34"/>
  <c r="C39" i="34"/>
  <c r="C38" i="34"/>
  <c r="C37" i="34"/>
  <c r="C61" i="35"/>
  <c r="C60" i="35"/>
  <c r="C59" i="35"/>
  <c r="C58" i="35"/>
  <c r="C57" i="35"/>
  <c r="C56" i="35"/>
  <c r="C55" i="35"/>
  <c r="C54" i="35"/>
  <c r="C53" i="35"/>
  <c r="C52" i="35"/>
  <c r="C51" i="35"/>
  <c r="C50" i="35"/>
  <c r="C49" i="35"/>
  <c r="C48" i="35"/>
  <c r="C47" i="35"/>
  <c r="C46" i="35"/>
  <c r="C45" i="35"/>
  <c r="C44" i="35"/>
  <c r="C43" i="35"/>
  <c r="C42" i="35"/>
  <c r="C41" i="35"/>
  <c r="C40" i="35"/>
  <c r="C39" i="35"/>
  <c r="C38" i="35"/>
  <c r="C37" i="35"/>
  <c r="C61" i="30"/>
  <c r="C60" i="30"/>
  <c r="C59" i="30"/>
  <c r="C58" i="30"/>
  <c r="C57" i="30"/>
  <c r="C56" i="30"/>
  <c r="C55" i="30"/>
  <c r="C54" i="30"/>
  <c r="C53" i="30"/>
  <c r="C52" i="30"/>
  <c r="C51" i="30"/>
  <c r="C50" i="30"/>
  <c r="C49" i="30"/>
  <c r="C48" i="30"/>
  <c r="C47" i="30"/>
  <c r="C46" i="30"/>
  <c r="C45" i="30"/>
  <c r="C44" i="30"/>
  <c r="C43" i="30"/>
  <c r="C42" i="30"/>
  <c r="C41" i="30"/>
  <c r="C40" i="30"/>
  <c r="C39" i="30"/>
  <c r="C38" i="30"/>
  <c r="C37" i="30"/>
  <c r="C61" i="31"/>
  <c r="C60" i="31"/>
  <c r="C59" i="31"/>
  <c r="C58" i="31"/>
  <c r="C57" i="31"/>
  <c r="C56" i="31"/>
  <c r="C55" i="31"/>
  <c r="C54" i="31"/>
  <c r="C53" i="31"/>
  <c r="C52" i="31"/>
  <c r="C51" i="31"/>
  <c r="C50" i="31"/>
  <c r="C49" i="31"/>
  <c r="C48" i="31"/>
  <c r="C47" i="31"/>
  <c r="C46" i="31"/>
  <c r="C45" i="31"/>
  <c r="C44" i="31"/>
  <c r="C43" i="31"/>
  <c r="C42" i="31"/>
  <c r="C41" i="31"/>
  <c r="C40" i="31"/>
  <c r="C39" i="31"/>
  <c r="C38" i="31"/>
  <c r="C37" i="31"/>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61" i="9"/>
  <c r="C60" i="9"/>
  <c r="C59" i="9"/>
  <c r="C58" i="9"/>
  <c r="C57" i="9"/>
  <c r="C56" i="9"/>
  <c r="C55" i="9"/>
  <c r="C54" i="9"/>
  <c r="C53" i="9"/>
  <c r="C52" i="9"/>
  <c r="C51" i="9"/>
  <c r="C50" i="9"/>
  <c r="C49" i="9"/>
  <c r="C48" i="9"/>
  <c r="C47" i="9"/>
  <c r="C46" i="9"/>
  <c r="C45" i="9"/>
  <c r="C44" i="9"/>
  <c r="C43" i="9"/>
  <c r="C42" i="9"/>
  <c r="C41" i="9"/>
  <c r="C40" i="9"/>
  <c r="C39" i="9"/>
  <c r="C38" i="9"/>
  <c r="C37" i="9"/>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61" i="13"/>
  <c r="C60" i="13"/>
  <c r="C59" i="13"/>
  <c r="C58" i="13"/>
  <c r="C57" i="13"/>
  <c r="C56" i="13"/>
  <c r="C55" i="13"/>
  <c r="C54" i="13"/>
  <c r="C53" i="13"/>
  <c r="C52" i="13"/>
  <c r="C51" i="13"/>
  <c r="C50" i="13"/>
  <c r="C49" i="13"/>
  <c r="C48" i="13"/>
  <c r="C47" i="13"/>
  <c r="C46" i="13"/>
  <c r="C45" i="13"/>
  <c r="C44" i="13"/>
  <c r="C43" i="13"/>
  <c r="C42" i="13"/>
  <c r="C41" i="13"/>
  <c r="C40" i="13"/>
  <c r="C39" i="13"/>
  <c r="C38" i="13"/>
  <c r="C37" i="13"/>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61" i="16"/>
  <c r="C60" i="16"/>
  <c r="C59" i="16"/>
  <c r="C58" i="16"/>
  <c r="C57" i="16"/>
  <c r="C56" i="16"/>
  <c r="C55" i="16"/>
  <c r="C54" i="16"/>
  <c r="C53" i="16"/>
  <c r="C52" i="16"/>
  <c r="C51" i="16"/>
  <c r="C50" i="16"/>
  <c r="C49" i="16"/>
  <c r="C48" i="16"/>
  <c r="C47" i="16"/>
  <c r="C46" i="16"/>
  <c r="C45" i="16"/>
  <c r="C44" i="16"/>
  <c r="C43" i="16"/>
  <c r="C42" i="16"/>
  <c r="C41" i="16"/>
  <c r="C40" i="16"/>
  <c r="C39" i="16"/>
  <c r="C38" i="16"/>
  <c r="C37" i="16"/>
  <c r="C61" i="17"/>
  <c r="C60" i="17"/>
  <c r="C59" i="17"/>
  <c r="C58" i="17"/>
  <c r="C57" i="17"/>
  <c r="C56" i="17"/>
  <c r="C55" i="17"/>
  <c r="C54" i="17"/>
  <c r="C53" i="17"/>
  <c r="C52" i="17"/>
  <c r="C51" i="17"/>
  <c r="C50" i="17"/>
  <c r="C49" i="17"/>
  <c r="C48" i="17"/>
  <c r="C47" i="17"/>
  <c r="C46" i="17"/>
  <c r="C45" i="17"/>
  <c r="C44" i="17"/>
  <c r="C43" i="17"/>
  <c r="C42" i="17"/>
  <c r="C41" i="17"/>
  <c r="C40" i="17"/>
  <c r="C39" i="17"/>
  <c r="C38" i="17"/>
  <c r="C37" i="17"/>
  <c r="C61" i="18"/>
  <c r="C60" i="18"/>
  <c r="C59" i="18"/>
  <c r="C58" i="18"/>
  <c r="C57" i="18"/>
  <c r="C56" i="18"/>
  <c r="C55" i="18"/>
  <c r="C54" i="18"/>
  <c r="C53" i="18"/>
  <c r="C52" i="18"/>
  <c r="C51" i="18"/>
  <c r="C50" i="18"/>
  <c r="C49" i="18"/>
  <c r="C48" i="18"/>
  <c r="C47" i="18"/>
  <c r="C46" i="18"/>
  <c r="C45" i="18"/>
  <c r="C44" i="18"/>
  <c r="C43" i="18"/>
  <c r="C42" i="18"/>
  <c r="C41" i="18"/>
  <c r="C40" i="18"/>
  <c r="C39" i="18"/>
  <c r="C38" i="18"/>
  <c r="C37" i="18"/>
  <c r="C61" i="7"/>
  <c r="C60" i="7"/>
  <c r="C59" i="7"/>
  <c r="C58" i="7"/>
  <c r="C57" i="7"/>
  <c r="C56" i="7"/>
  <c r="C55" i="7"/>
  <c r="C54" i="7"/>
  <c r="C53" i="7"/>
  <c r="C52" i="7"/>
  <c r="C51" i="7"/>
  <c r="C50" i="7"/>
  <c r="C49" i="7"/>
  <c r="C48" i="7"/>
  <c r="C47" i="7"/>
  <c r="C46" i="7"/>
  <c r="C45" i="7"/>
  <c r="C44" i="7"/>
  <c r="C43" i="7"/>
  <c r="C42" i="7"/>
  <c r="C41" i="7"/>
  <c r="C40" i="7"/>
  <c r="C39" i="7"/>
  <c r="C38" i="7"/>
  <c r="C37" i="7"/>
  <c r="L158" i="3"/>
  <c r="M158" i="3" s="1"/>
  <c r="L157" i="3"/>
  <c r="M157" i="3" s="1"/>
  <c r="L156" i="3"/>
  <c r="M156" i="3" s="1"/>
  <c r="L155" i="3"/>
  <c r="M155" i="3" s="1"/>
  <c r="L154" i="3"/>
  <c r="M154" i="3" s="1"/>
  <c r="L153" i="3"/>
  <c r="M153" i="3" s="1"/>
  <c r="L152" i="3"/>
  <c r="M152" i="3" s="1"/>
  <c r="L151" i="3"/>
  <c r="M151" i="3" s="1"/>
  <c r="L150" i="3"/>
  <c r="M150" i="3" s="1"/>
  <c r="L149" i="3"/>
  <c r="M149" i="3" s="1"/>
  <c r="L148" i="3"/>
  <c r="M148" i="3" s="1"/>
  <c r="L147" i="3"/>
  <c r="M147" i="3" s="1"/>
  <c r="L146" i="3"/>
  <c r="M146" i="3" s="1"/>
  <c r="L145" i="3"/>
  <c r="M145" i="3" s="1"/>
  <c r="L144" i="3"/>
  <c r="M144" i="3" s="1"/>
  <c r="L143" i="3"/>
  <c r="M143" i="3" s="1"/>
  <c r="L142" i="3"/>
  <c r="M142" i="3" s="1"/>
  <c r="L141" i="3"/>
  <c r="M141" i="3" s="1"/>
  <c r="L140" i="3"/>
  <c r="M140" i="3" s="1"/>
  <c r="L139" i="3"/>
  <c r="M139" i="3" s="1"/>
  <c r="L138" i="3"/>
  <c r="M138" i="3" s="1"/>
  <c r="L137" i="3"/>
  <c r="M137" i="3" s="1"/>
  <c r="L136" i="3"/>
  <c r="M136" i="3" s="1"/>
  <c r="L135" i="3"/>
  <c r="M135" i="3" s="1"/>
  <c r="L134" i="3"/>
  <c r="M134" i="3" s="1"/>
  <c r="L133" i="3"/>
  <c r="M133" i="3" s="1"/>
  <c r="L132" i="3"/>
  <c r="M132" i="3" s="1"/>
  <c r="L131" i="3"/>
  <c r="M131" i="3" s="1"/>
  <c r="L130" i="3"/>
  <c r="M130" i="3" s="1"/>
  <c r="L129" i="3"/>
  <c r="M129" i="3" s="1"/>
  <c r="L128" i="3"/>
  <c r="M128" i="3" s="1"/>
  <c r="L127" i="3"/>
  <c r="M127" i="3" s="1"/>
  <c r="L126" i="3"/>
  <c r="M126" i="3" s="1"/>
  <c r="L125" i="3"/>
  <c r="M125" i="3" s="1"/>
  <c r="L124" i="3"/>
  <c r="M124" i="3" s="1"/>
  <c r="L123" i="3"/>
  <c r="M123" i="3" s="1"/>
  <c r="L122" i="3"/>
  <c r="M122" i="3" s="1"/>
  <c r="L121" i="3"/>
  <c r="M121" i="3" s="1"/>
  <c r="L120" i="3"/>
  <c r="M120" i="3" s="1"/>
  <c r="M119" i="3"/>
  <c r="L119" i="3"/>
  <c r="M118" i="3"/>
  <c r="L118" i="3"/>
  <c r="L117" i="3"/>
  <c r="M117" i="3" s="1"/>
  <c r="L116" i="3"/>
  <c r="M116" i="3" s="1"/>
  <c r="L115" i="3"/>
  <c r="M115" i="3" s="1"/>
  <c r="L114" i="3"/>
  <c r="M114" i="3" s="1"/>
  <c r="L113" i="3"/>
  <c r="M113" i="3" s="1"/>
  <c r="L112" i="3"/>
  <c r="M112" i="3" s="1"/>
  <c r="M111" i="3"/>
  <c r="L111" i="3"/>
  <c r="L110" i="3"/>
  <c r="M110" i="3" s="1"/>
  <c r="L109" i="3"/>
  <c r="M109" i="3" s="1"/>
  <c r="L108" i="3"/>
  <c r="M108" i="3" s="1"/>
  <c r="L107" i="3"/>
  <c r="M107" i="3" s="1"/>
  <c r="L106" i="3"/>
  <c r="M106" i="3" s="1"/>
  <c r="L105" i="3"/>
  <c r="M105" i="3" s="1"/>
  <c r="L104" i="3"/>
  <c r="M104" i="3" s="1"/>
  <c r="L103" i="3"/>
  <c r="M103" i="3" s="1"/>
  <c r="L102" i="3"/>
  <c r="M102" i="3" s="1"/>
  <c r="L101" i="3"/>
  <c r="M101" i="3" s="1"/>
  <c r="L100" i="3"/>
  <c r="M100" i="3" s="1"/>
  <c r="L99" i="3"/>
  <c r="M99" i="3" s="1"/>
  <c r="L98" i="3"/>
  <c r="M98" i="3" s="1"/>
  <c r="L97" i="3"/>
  <c r="M97" i="3" s="1"/>
  <c r="L96" i="3"/>
  <c r="M96" i="3" s="1"/>
  <c r="M95" i="3"/>
  <c r="L95" i="3"/>
  <c r="L94" i="3"/>
  <c r="M94" i="3" s="1"/>
  <c r="L93" i="3"/>
  <c r="M93" i="3" s="1"/>
  <c r="L92" i="3"/>
  <c r="M92" i="3" s="1"/>
  <c r="L91" i="3"/>
  <c r="M91" i="3" s="1"/>
  <c r="L90" i="3"/>
  <c r="M90" i="3" s="1"/>
  <c r="L89" i="3"/>
  <c r="M89" i="3" s="1"/>
  <c r="L88" i="3"/>
  <c r="M88" i="3" s="1"/>
  <c r="L87" i="3"/>
  <c r="M87" i="3" s="1"/>
  <c r="L86" i="3"/>
  <c r="M86" i="3" s="1"/>
  <c r="L85" i="3"/>
  <c r="M85" i="3" s="1"/>
  <c r="L84" i="3"/>
  <c r="M84" i="3" s="1"/>
  <c r="L83" i="3"/>
  <c r="M83" i="3" s="1"/>
  <c r="L82" i="3"/>
  <c r="M82" i="3" s="1"/>
  <c r="L81" i="3"/>
  <c r="M81" i="3" s="1"/>
  <c r="L80" i="3"/>
  <c r="M80" i="3" s="1"/>
  <c r="L79" i="3"/>
  <c r="M79" i="3" s="1"/>
  <c r="L78" i="3"/>
  <c r="M78" i="3" s="1"/>
  <c r="L77" i="3"/>
  <c r="M77" i="3" s="1"/>
  <c r="L76" i="3"/>
  <c r="M76" i="3" s="1"/>
  <c r="L75" i="3"/>
  <c r="M75" i="3" s="1"/>
  <c r="L74" i="3"/>
  <c r="M74" i="3" s="1"/>
  <c r="L73" i="3"/>
  <c r="M73" i="3" s="1"/>
  <c r="L72" i="3"/>
  <c r="M72" i="3" s="1"/>
  <c r="L71" i="3"/>
  <c r="M71" i="3" s="1"/>
  <c r="L70" i="3"/>
  <c r="M70" i="3" s="1"/>
  <c r="L69" i="3"/>
  <c r="M69" i="3" s="1"/>
  <c r="L68" i="3"/>
  <c r="M68" i="3" s="1"/>
  <c r="L67" i="3"/>
  <c r="M67" i="3" s="1"/>
  <c r="L66" i="3"/>
  <c r="M66" i="3" s="1"/>
  <c r="L65" i="3"/>
  <c r="M65" i="3" s="1"/>
  <c r="L64" i="3"/>
  <c r="M64" i="3" s="1"/>
  <c r="L63" i="3"/>
  <c r="M63" i="3" s="1"/>
  <c r="L62" i="3"/>
  <c r="M62" i="3" s="1"/>
  <c r="L61" i="3"/>
  <c r="M61" i="3" s="1"/>
  <c r="L60" i="3"/>
  <c r="M60" i="3" s="1"/>
  <c r="L59" i="3"/>
  <c r="M59" i="3" s="1"/>
  <c r="L58" i="3"/>
  <c r="M58" i="3" s="1"/>
  <c r="L57" i="3"/>
  <c r="M57" i="3" s="1"/>
  <c r="L56" i="3"/>
  <c r="M56" i="3" s="1"/>
  <c r="L55" i="3"/>
  <c r="M55" i="3" s="1"/>
  <c r="L54" i="3"/>
  <c r="M54" i="3" s="1"/>
  <c r="L53" i="3"/>
  <c r="M53" i="3" s="1"/>
  <c r="L52" i="3"/>
  <c r="M52" i="3" s="1"/>
  <c r="L51" i="3"/>
  <c r="M51" i="3" s="1"/>
  <c r="L50" i="3"/>
  <c r="M50" i="3" s="1"/>
  <c r="L49" i="3"/>
  <c r="M49" i="3" s="1"/>
  <c r="L48" i="3"/>
  <c r="M48" i="3" s="1"/>
  <c r="L47" i="3"/>
  <c r="M47" i="3" s="1"/>
  <c r="L46" i="3"/>
  <c r="M46" i="3" s="1"/>
  <c r="L45" i="3"/>
  <c r="M45" i="3" s="1"/>
  <c r="L44" i="3"/>
  <c r="M44" i="3" s="1"/>
  <c r="L43" i="3"/>
  <c r="M43" i="3" s="1"/>
  <c r="L42" i="3"/>
  <c r="M42" i="3" s="1"/>
  <c r="L41" i="3"/>
  <c r="M41" i="3" s="1"/>
  <c r="L40" i="3"/>
  <c r="M40" i="3" s="1"/>
  <c r="L39" i="3"/>
  <c r="M39" i="3" s="1"/>
  <c r="L38" i="3"/>
  <c r="M38" i="3" s="1"/>
  <c r="L37" i="3"/>
  <c r="M37" i="3" s="1"/>
  <c r="L36" i="3"/>
  <c r="M36" i="3" s="1"/>
  <c r="L35" i="3"/>
  <c r="M35" i="3" s="1"/>
  <c r="L34" i="3"/>
  <c r="M34" i="3" s="1"/>
  <c r="L33" i="3"/>
  <c r="M33" i="3" s="1"/>
  <c r="L32" i="3"/>
  <c r="M32" i="3" s="1"/>
  <c r="L31" i="3"/>
  <c r="M31" i="3" s="1"/>
  <c r="L30" i="3"/>
  <c r="M30" i="3" s="1"/>
  <c r="L29" i="3"/>
  <c r="M29" i="3" s="1"/>
  <c r="L28" i="3"/>
  <c r="M28" i="3" s="1"/>
  <c r="L27" i="3"/>
  <c r="M27" i="3" s="1"/>
  <c r="L26" i="3"/>
  <c r="M26" i="3" s="1"/>
  <c r="L25" i="3"/>
  <c r="M25" i="3" s="1"/>
  <c r="L24" i="3"/>
  <c r="M24" i="3" s="1"/>
  <c r="L23" i="3"/>
  <c r="M23" i="3" s="1"/>
  <c r="L22" i="3"/>
  <c r="M22" i="3" s="1"/>
  <c r="L21" i="3"/>
  <c r="M21" i="3" s="1"/>
  <c r="L20" i="3"/>
  <c r="M20" i="3" s="1"/>
  <c r="L19" i="3"/>
  <c r="M19" i="3" s="1"/>
  <c r="L18" i="3"/>
  <c r="M18" i="3" s="1"/>
  <c r="L17" i="3"/>
  <c r="M17" i="3" s="1"/>
  <c r="L16" i="3"/>
  <c r="M16" i="3" s="1"/>
  <c r="L15" i="3"/>
  <c r="M15" i="3" s="1"/>
  <c r="L14" i="3"/>
  <c r="M14" i="3" s="1"/>
  <c r="L13" i="3"/>
  <c r="M13" i="3" s="1"/>
  <c r="L12" i="3"/>
  <c r="M12" i="3" s="1"/>
  <c r="L11" i="3"/>
  <c r="M11" i="3" s="1"/>
  <c r="L10" i="3"/>
  <c r="M10" i="3" s="1"/>
  <c r="L9" i="3"/>
  <c r="M9" i="3" s="1"/>
  <c r="L8" i="3"/>
  <c r="M8" i="3" s="1"/>
  <c r="L7" i="3"/>
  <c r="M7" i="3" s="1"/>
  <c r="L6" i="3"/>
  <c r="M6" i="3" s="1"/>
  <c r="L5" i="3"/>
  <c r="M5" i="3" s="1"/>
  <c r="L4" i="3"/>
  <c r="M4" i="3" s="1"/>
  <c r="L3" i="3"/>
  <c r="M3" i="3" s="1"/>
  <c r="L2" i="3"/>
  <c r="M2" i="3" s="1"/>
  <c r="C129" i="36"/>
  <c r="C128" i="36"/>
  <c r="C127" i="36"/>
  <c r="C126" i="36"/>
  <c r="C125" i="36"/>
  <c r="C124" i="36"/>
  <c r="C123" i="36"/>
  <c r="C122" i="36"/>
  <c r="C121" i="36"/>
  <c r="C120" i="36"/>
  <c r="C119" i="36"/>
  <c r="C118" i="36"/>
  <c r="C117" i="36"/>
  <c r="C116" i="36"/>
  <c r="C115" i="36"/>
  <c r="C110" i="36"/>
  <c r="C111" i="36"/>
  <c r="C113" i="36"/>
  <c r="C109" i="36"/>
  <c r="C112" i="36"/>
  <c r="C114" i="36"/>
  <c r="C108" i="36"/>
  <c r="C99" i="36"/>
  <c r="C101" i="36"/>
  <c r="C106" i="36"/>
  <c r="C93" i="36"/>
  <c r="C103" i="36"/>
  <c r="C94" i="36"/>
  <c r="C100" i="36"/>
  <c r="C105" i="36"/>
  <c r="C92" i="36"/>
  <c r="C98" i="36"/>
  <c r="C97" i="36"/>
  <c r="C96" i="36"/>
  <c r="C95" i="36"/>
  <c r="C89" i="36"/>
  <c r="C30" i="36"/>
  <c r="C33" i="36"/>
  <c r="C34" i="36"/>
  <c r="C88" i="36"/>
  <c r="C87" i="36"/>
  <c r="C86" i="36"/>
  <c r="C85" i="36"/>
  <c r="C84" i="36"/>
  <c r="C83" i="36"/>
  <c r="C82" i="36"/>
  <c r="C81" i="36"/>
  <c r="C80" i="36"/>
  <c r="C79" i="36"/>
  <c r="C78" i="36"/>
  <c r="C77" i="36"/>
  <c r="C76" i="36"/>
  <c r="C75" i="36"/>
  <c r="C74" i="36"/>
  <c r="C73" i="36"/>
  <c r="C72" i="36"/>
  <c r="C71" i="36"/>
  <c r="C70" i="36"/>
  <c r="C69" i="36"/>
  <c r="C68" i="36"/>
  <c r="C67" i="36"/>
  <c r="C66" i="36"/>
  <c r="C65" i="36"/>
  <c r="C64" i="36"/>
  <c r="C63" i="36"/>
  <c r="C62" i="36"/>
  <c r="C107" i="36"/>
  <c r="C104" i="36"/>
  <c r="C90" i="36"/>
  <c r="C36" i="36"/>
  <c r="C35" i="36"/>
  <c r="C91" i="36"/>
  <c r="C102" i="36"/>
  <c r="C32" i="36"/>
  <c r="C31" i="36"/>
  <c r="C29" i="36"/>
  <c r="C28" i="36"/>
  <c r="C27" i="36"/>
  <c r="C26" i="36"/>
  <c r="C25" i="36"/>
  <c r="C24" i="36"/>
  <c r="C23" i="36"/>
  <c r="C22" i="36"/>
  <c r="C21" i="36"/>
  <c r="C20" i="36"/>
  <c r="C19" i="36"/>
  <c r="C18" i="36"/>
  <c r="C17" i="36"/>
  <c r="C16" i="36"/>
  <c r="C15" i="36"/>
  <c r="C14" i="36"/>
  <c r="C13" i="36"/>
  <c r="C12" i="36"/>
  <c r="C11" i="36"/>
  <c r="C10" i="36"/>
  <c r="C9" i="36"/>
  <c r="C8" i="36"/>
  <c r="C7" i="36"/>
  <c r="C6" i="36"/>
  <c r="C5" i="36"/>
  <c r="C4" i="36"/>
  <c r="C3" i="36"/>
  <c r="C2" i="36"/>
  <c r="C129" i="35"/>
  <c r="C128" i="35"/>
  <c r="C127" i="35"/>
  <c r="C126" i="35"/>
  <c r="C125" i="35"/>
  <c r="C124" i="35"/>
  <c r="C123" i="35"/>
  <c r="C122" i="35"/>
  <c r="C121" i="35"/>
  <c r="C120" i="35"/>
  <c r="C119" i="35"/>
  <c r="C118" i="35"/>
  <c r="C117" i="35"/>
  <c r="C116" i="35"/>
  <c r="C115" i="35"/>
  <c r="C114" i="35"/>
  <c r="C113" i="35"/>
  <c r="C112" i="35"/>
  <c r="C111" i="35"/>
  <c r="C110" i="35"/>
  <c r="C109" i="35"/>
  <c r="C108" i="35"/>
  <c r="C107" i="35"/>
  <c r="C106" i="35"/>
  <c r="C105" i="35"/>
  <c r="C104" i="35"/>
  <c r="C103" i="35"/>
  <c r="C102" i="35"/>
  <c r="C101" i="35"/>
  <c r="C100" i="35"/>
  <c r="C99" i="35"/>
  <c r="C98" i="35"/>
  <c r="C97" i="35"/>
  <c r="C96" i="35"/>
  <c r="C95" i="35"/>
  <c r="C94" i="35"/>
  <c r="C93" i="35"/>
  <c r="C92" i="35"/>
  <c r="C91" i="35"/>
  <c r="C90" i="35"/>
  <c r="C89" i="35"/>
  <c r="C88" i="35"/>
  <c r="C87" i="35"/>
  <c r="C86" i="35"/>
  <c r="C85" i="35"/>
  <c r="C84" i="35"/>
  <c r="C83" i="35"/>
  <c r="C82" i="35"/>
  <c r="C81" i="35"/>
  <c r="C80" i="35"/>
  <c r="C79" i="35"/>
  <c r="C78" i="35"/>
  <c r="C77" i="35"/>
  <c r="C76" i="35"/>
  <c r="C75" i="35"/>
  <c r="C74" i="35"/>
  <c r="C73" i="35"/>
  <c r="C72" i="35"/>
  <c r="C71" i="35"/>
  <c r="C70" i="35"/>
  <c r="C69" i="35"/>
  <c r="C68" i="35"/>
  <c r="C67" i="35"/>
  <c r="C66" i="35"/>
  <c r="C65" i="35"/>
  <c r="C64" i="35"/>
  <c r="C63" i="35"/>
  <c r="C62" i="35"/>
  <c r="C36" i="35"/>
  <c r="C35" i="35"/>
  <c r="C34" i="35"/>
  <c r="C33" i="35"/>
  <c r="C32" i="35"/>
  <c r="C31" i="35"/>
  <c r="C30" i="35"/>
  <c r="C29" i="35"/>
  <c r="C28" i="35"/>
  <c r="C27" i="35"/>
  <c r="C26" i="35"/>
  <c r="C25" i="35"/>
  <c r="C24" i="35"/>
  <c r="C23" i="35"/>
  <c r="C22" i="35"/>
  <c r="C21" i="35"/>
  <c r="C20" i="35"/>
  <c r="C19" i="35"/>
  <c r="C18" i="35"/>
  <c r="C17" i="35"/>
  <c r="C16" i="35"/>
  <c r="C15" i="35"/>
  <c r="C14" i="35"/>
  <c r="C13" i="35"/>
  <c r="C12" i="35"/>
  <c r="C11" i="35"/>
  <c r="C10" i="35"/>
  <c r="C9" i="35"/>
  <c r="C8" i="35"/>
  <c r="C7" i="35"/>
  <c r="C6" i="35"/>
  <c r="C5" i="35"/>
  <c r="C4" i="35"/>
  <c r="C3" i="35"/>
  <c r="C2" i="35"/>
  <c r="C129" i="34"/>
  <c r="C128" i="34"/>
  <c r="C127" i="34"/>
  <c r="C126" i="34"/>
  <c r="C125" i="34"/>
  <c r="C124" i="34"/>
  <c r="C123" i="34"/>
  <c r="C122" i="34"/>
  <c r="C121" i="34"/>
  <c r="C120" i="34"/>
  <c r="C119" i="34"/>
  <c r="C118" i="34"/>
  <c r="C117" i="34"/>
  <c r="C116" i="34"/>
  <c r="C115" i="34"/>
  <c r="C114" i="34"/>
  <c r="C113" i="34"/>
  <c r="C112" i="34"/>
  <c r="C111" i="34"/>
  <c r="C110" i="34"/>
  <c r="C109" i="34"/>
  <c r="C108" i="34"/>
  <c r="C107" i="34"/>
  <c r="C106" i="34"/>
  <c r="C105" i="34"/>
  <c r="C104" i="34"/>
  <c r="C103" i="34"/>
  <c r="C102" i="34"/>
  <c r="C101" i="34"/>
  <c r="C100" i="34"/>
  <c r="C99" i="34"/>
  <c r="C98" i="34"/>
  <c r="C97" i="34"/>
  <c r="C96" i="34"/>
  <c r="C95" i="34"/>
  <c r="C94" i="34"/>
  <c r="C93" i="34"/>
  <c r="C92" i="34"/>
  <c r="C91" i="34"/>
  <c r="C90" i="34"/>
  <c r="C89" i="34"/>
  <c r="C88" i="34"/>
  <c r="C87" i="34"/>
  <c r="C86" i="34"/>
  <c r="C85" i="34"/>
  <c r="C84" i="34"/>
  <c r="C83" i="34"/>
  <c r="C82" i="34"/>
  <c r="C81" i="34"/>
  <c r="C80" i="34"/>
  <c r="C79" i="34"/>
  <c r="C78" i="34"/>
  <c r="C77" i="34"/>
  <c r="C76" i="34"/>
  <c r="C75" i="34"/>
  <c r="C74" i="34"/>
  <c r="C73" i="34"/>
  <c r="C72" i="34"/>
  <c r="C71" i="34"/>
  <c r="C70" i="34"/>
  <c r="C69" i="34"/>
  <c r="C68" i="34"/>
  <c r="C67" i="34"/>
  <c r="C66" i="34"/>
  <c r="C65" i="34"/>
  <c r="C64" i="34"/>
  <c r="C63" i="34"/>
  <c r="C62" i="34"/>
  <c r="C36" i="34"/>
  <c r="C35" i="34"/>
  <c r="C34" i="34"/>
  <c r="C33" i="34"/>
  <c r="C32" i="34"/>
  <c r="C31" i="34"/>
  <c r="C30" i="34"/>
  <c r="C29" i="34"/>
  <c r="C28" i="34"/>
  <c r="C27" i="34"/>
  <c r="C26" i="34"/>
  <c r="C25" i="34"/>
  <c r="C24" i="34"/>
  <c r="C23" i="34"/>
  <c r="C22" i="34"/>
  <c r="C21" i="34"/>
  <c r="C20" i="34"/>
  <c r="C19" i="34"/>
  <c r="C18" i="34"/>
  <c r="C17" i="34"/>
  <c r="C16" i="34"/>
  <c r="C15" i="34"/>
  <c r="C14" i="34"/>
  <c r="C13" i="34"/>
  <c r="C12" i="34"/>
  <c r="C11" i="34"/>
  <c r="C10" i="34"/>
  <c r="C9" i="34"/>
  <c r="C8" i="34"/>
  <c r="C7" i="34"/>
  <c r="C6" i="34"/>
  <c r="C5" i="34"/>
  <c r="C4" i="34"/>
  <c r="C3" i="34"/>
  <c r="C2" i="34"/>
  <c r="C129" i="33"/>
  <c r="C128" i="33"/>
  <c r="C127" i="33"/>
  <c r="C126" i="33"/>
  <c r="C125" i="33"/>
  <c r="C124" i="33"/>
  <c r="C123" i="33"/>
  <c r="C122" i="33"/>
  <c r="C121" i="33"/>
  <c r="C120" i="33"/>
  <c r="C119" i="33"/>
  <c r="C118" i="33"/>
  <c r="C117" i="33"/>
  <c r="C116" i="33"/>
  <c r="C115" i="33"/>
  <c r="C114" i="33"/>
  <c r="C113" i="33"/>
  <c r="C112" i="33"/>
  <c r="C111" i="33"/>
  <c r="C110" i="33"/>
  <c r="C109" i="33"/>
  <c r="C108" i="33"/>
  <c r="C107" i="33"/>
  <c r="C106" i="33"/>
  <c r="C105" i="33"/>
  <c r="C104" i="33"/>
  <c r="C103" i="33"/>
  <c r="C102" i="33"/>
  <c r="C101" i="33"/>
  <c r="C100" i="33"/>
  <c r="C99" i="33"/>
  <c r="C98" i="33"/>
  <c r="C97" i="33"/>
  <c r="C96" i="33"/>
  <c r="C95" i="33"/>
  <c r="C94" i="33"/>
  <c r="C93" i="33"/>
  <c r="C92" i="33"/>
  <c r="C91" i="33"/>
  <c r="C90" i="33"/>
  <c r="C89" i="33"/>
  <c r="C88" i="33"/>
  <c r="C87" i="33"/>
  <c r="C86" i="33"/>
  <c r="C85" i="33"/>
  <c r="C84" i="33"/>
  <c r="C83" i="33"/>
  <c r="C82" i="33"/>
  <c r="C81" i="33"/>
  <c r="C80" i="33"/>
  <c r="C79" i="33"/>
  <c r="C78" i="33"/>
  <c r="C77" i="33"/>
  <c r="C76" i="33"/>
  <c r="C75" i="33"/>
  <c r="C74" i="33"/>
  <c r="C73" i="33"/>
  <c r="C72" i="33"/>
  <c r="C71" i="33"/>
  <c r="C70" i="33"/>
  <c r="C69" i="33"/>
  <c r="C68" i="33"/>
  <c r="C67" i="33"/>
  <c r="C66" i="33"/>
  <c r="C65" i="33"/>
  <c r="C64" i="33"/>
  <c r="C63" i="33"/>
  <c r="C62"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C10" i="33"/>
  <c r="C9" i="33"/>
  <c r="C8" i="33"/>
  <c r="C7" i="33"/>
  <c r="C6" i="33"/>
  <c r="C5" i="33"/>
  <c r="C4" i="33"/>
  <c r="C3" i="33"/>
  <c r="C2" i="33"/>
  <c r="C129" i="31"/>
  <c r="C128" i="31"/>
  <c r="C127" i="31"/>
  <c r="C126" i="31"/>
  <c r="C125" i="31"/>
  <c r="C124" i="31"/>
  <c r="C123" i="31"/>
  <c r="C122" i="31"/>
  <c r="C121" i="31"/>
  <c r="C120" i="31"/>
  <c r="C119" i="31"/>
  <c r="C118" i="31"/>
  <c r="C117" i="31"/>
  <c r="C116" i="31"/>
  <c r="C115" i="31"/>
  <c r="C114" i="31"/>
  <c r="C113" i="31"/>
  <c r="C112" i="31"/>
  <c r="C111" i="31"/>
  <c r="C110" i="31"/>
  <c r="C109" i="31"/>
  <c r="C108" i="31"/>
  <c r="C107" i="31"/>
  <c r="C106" i="31"/>
  <c r="C105" i="31"/>
  <c r="C104" i="31"/>
  <c r="C103" i="31"/>
  <c r="C102" i="31"/>
  <c r="C101" i="31"/>
  <c r="C100" i="31"/>
  <c r="C99" i="31"/>
  <c r="C98" i="31"/>
  <c r="C97" i="31"/>
  <c r="C96" i="31"/>
  <c r="C95" i="31"/>
  <c r="C94" i="31"/>
  <c r="C93" i="31"/>
  <c r="C92" i="31"/>
  <c r="C91" i="31"/>
  <c r="C90" i="31"/>
  <c r="C89" i="31"/>
  <c r="C88" i="31"/>
  <c r="C87" i="31"/>
  <c r="C86" i="31"/>
  <c r="C85" i="31"/>
  <c r="C84" i="31"/>
  <c r="C83" i="31"/>
  <c r="C82" i="31"/>
  <c r="C81" i="31"/>
  <c r="C80" i="31"/>
  <c r="C79" i="31"/>
  <c r="C78" i="31"/>
  <c r="C77" i="31"/>
  <c r="C76" i="31"/>
  <c r="C75" i="31"/>
  <c r="C74" i="31"/>
  <c r="C73" i="31"/>
  <c r="C72" i="31"/>
  <c r="C71" i="31"/>
  <c r="C70" i="31"/>
  <c r="C69" i="31"/>
  <c r="C68" i="31"/>
  <c r="C67" i="31"/>
  <c r="C66" i="31"/>
  <c r="C65" i="31"/>
  <c r="C64" i="31"/>
  <c r="C63" i="31"/>
  <c r="C62" i="31"/>
  <c r="C36" i="31"/>
  <c r="C35" i="31"/>
  <c r="C34" i="31"/>
  <c r="C33" i="31"/>
  <c r="C32" i="31"/>
  <c r="C31" i="31"/>
  <c r="C30" i="31"/>
  <c r="C29" i="31"/>
  <c r="C28" i="31"/>
  <c r="C27" i="31"/>
  <c r="C26" i="31"/>
  <c r="C25" i="31"/>
  <c r="C24" i="31"/>
  <c r="C23" i="31"/>
  <c r="C22" i="31"/>
  <c r="C21" i="31"/>
  <c r="C20" i="31"/>
  <c r="C19" i="31"/>
  <c r="C18" i="31"/>
  <c r="C17" i="31"/>
  <c r="C16" i="31"/>
  <c r="C15" i="31"/>
  <c r="C14" i="31"/>
  <c r="C13" i="31"/>
  <c r="C12" i="31"/>
  <c r="C11" i="31"/>
  <c r="C10" i="31"/>
  <c r="C9" i="31"/>
  <c r="C8" i="31"/>
  <c r="C7" i="31"/>
  <c r="C6" i="31"/>
  <c r="C5" i="31"/>
  <c r="C4" i="31"/>
  <c r="C3" i="31"/>
  <c r="C2" i="31"/>
  <c r="C129" i="30"/>
  <c r="C128" i="30"/>
  <c r="C127" i="30"/>
  <c r="C126" i="30"/>
  <c r="C125" i="30"/>
  <c r="C124" i="30"/>
  <c r="C123" i="30"/>
  <c r="C122" i="30"/>
  <c r="C121" i="30"/>
  <c r="C120" i="30"/>
  <c r="C119" i="30"/>
  <c r="C118" i="30"/>
  <c r="C117" i="30"/>
  <c r="C116" i="30"/>
  <c r="C115" i="30"/>
  <c r="C114" i="30"/>
  <c r="C113" i="30"/>
  <c r="C112" i="30"/>
  <c r="C111" i="30"/>
  <c r="C110" i="30"/>
  <c r="C109" i="30"/>
  <c r="C108" i="30"/>
  <c r="C107" i="30"/>
  <c r="C106" i="30"/>
  <c r="C105" i="30"/>
  <c r="C104" i="30"/>
  <c r="C103" i="30"/>
  <c r="C102" i="30"/>
  <c r="C101" i="30"/>
  <c r="C100" i="30"/>
  <c r="C99" i="30"/>
  <c r="C98" i="30"/>
  <c r="C97" i="30"/>
  <c r="C96" i="30"/>
  <c r="C95" i="30"/>
  <c r="C94" i="30"/>
  <c r="C93" i="30"/>
  <c r="C92" i="30"/>
  <c r="C91" i="30"/>
  <c r="C90" i="30"/>
  <c r="C89" i="30"/>
  <c r="C88" i="30"/>
  <c r="C87" i="30"/>
  <c r="C86" i="30"/>
  <c r="C85" i="30"/>
  <c r="C84" i="30"/>
  <c r="C83" i="30"/>
  <c r="C82" i="30"/>
  <c r="C81" i="30"/>
  <c r="C80" i="30"/>
  <c r="C79" i="30"/>
  <c r="C78" i="30"/>
  <c r="C77" i="30"/>
  <c r="C76" i="30"/>
  <c r="C75" i="30"/>
  <c r="C74" i="30"/>
  <c r="C73" i="30"/>
  <c r="C72" i="30"/>
  <c r="C71" i="30"/>
  <c r="C70" i="30"/>
  <c r="C69" i="30"/>
  <c r="C68" i="30"/>
  <c r="C67" i="30"/>
  <c r="C66" i="30"/>
  <c r="C65" i="30"/>
  <c r="C64" i="30"/>
  <c r="C63" i="30"/>
  <c r="C62" i="30"/>
  <c r="C36" i="30"/>
  <c r="C35" i="30"/>
  <c r="C34" i="30"/>
  <c r="C33" i="30"/>
  <c r="C32" i="30"/>
  <c r="C31" i="30"/>
  <c r="C30" i="30"/>
  <c r="C29" i="30"/>
  <c r="C28" i="30"/>
  <c r="C27" i="30"/>
  <c r="C26" i="30"/>
  <c r="C25" i="30"/>
  <c r="C24" i="30"/>
  <c r="C23" i="30"/>
  <c r="C22" i="30"/>
  <c r="C21" i="30"/>
  <c r="C20" i="30"/>
  <c r="C19" i="30"/>
  <c r="C18" i="30"/>
  <c r="C17" i="30"/>
  <c r="C16" i="30"/>
  <c r="C15" i="30"/>
  <c r="C14" i="30"/>
  <c r="C13" i="30"/>
  <c r="C12" i="30"/>
  <c r="C11" i="30"/>
  <c r="C10" i="30"/>
  <c r="C9" i="30"/>
  <c r="C8" i="30"/>
  <c r="C7" i="30"/>
  <c r="C6" i="30"/>
  <c r="C5" i="30"/>
  <c r="C4" i="30"/>
  <c r="C3" i="30"/>
  <c r="C2" i="30"/>
  <c r="C129" i="24"/>
  <c r="C128" i="24"/>
  <c r="C127" i="24"/>
  <c r="C126" i="24"/>
  <c r="C125" i="24"/>
  <c r="C124" i="24"/>
  <c r="C123" i="24"/>
  <c r="C122" i="24"/>
  <c r="C121" i="24"/>
  <c r="C120" i="24"/>
  <c r="C119" i="24"/>
  <c r="C118" i="24"/>
  <c r="C117" i="24"/>
  <c r="C116" i="24"/>
  <c r="C115" i="24"/>
  <c r="C114" i="24"/>
  <c r="C113" i="24"/>
  <c r="C112" i="24"/>
  <c r="C111" i="24"/>
  <c r="C110" i="24"/>
  <c r="C109" i="24"/>
  <c r="C108" i="24"/>
  <c r="C107" i="24"/>
  <c r="C106" i="24"/>
  <c r="C105" i="24"/>
  <c r="C104" i="24"/>
  <c r="C103" i="24"/>
  <c r="C102" i="24"/>
  <c r="C101" i="24"/>
  <c r="C100" i="24"/>
  <c r="C99" i="24"/>
  <c r="C98" i="24"/>
  <c r="C97" i="24"/>
  <c r="C96" i="24"/>
  <c r="C95" i="24"/>
  <c r="C94" i="24"/>
  <c r="C93" i="24"/>
  <c r="C92" i="24"/>
  <c r="C91" i="24"/>
  <c r="C90" i="24"/>
  <c r="C89" i="24"/>
  <c r="C88" i="24"/>
  <c r="C87" i="24"/>
  <c r="C86" i="24"/>
  <c r="C85" i="24"/>
  <c r="C84" i="24"/>
  <c r="C83" i="24"/>
  <c r="C82" i="24"/>
  <c r="C81" i="24"/>
  <c r="C80" i="24"/>
  <c r="C79" i="24"/>
  <c r="C78" i="24"/>
  <c r="C77" i="24"/>
  <c r="C76" i="24"/>
  <c r="C75" i="24"/>
  <c r="C74" i="24"/>
  <c r="C73" i="24"/>
  <c r="C72" i="24"/>
  <c r="C71" i="24"/>
  <c r="C70" i="24"/>
  <c r="C69" i="24"/>
  <c r="C68" i="24"/>
  <c r="C67" i="24"/>
  <c r="C66" i="24"/>
  <c r="C65" i="24"/>
  <c r="C64" i="24"/>
  <c r="C63" i="24"/>
  <c r="C62" i="24"/>
  <c r="C36" i="24"/>
  <c r="C35" i="24"/>
  <c r="C34" i="24"/>
  <c r="C33" i="24"/>
  <c r="C32" i="24"/>
  <c r="C31" i="24"/>
  <c r="C30" i="24"/>
  <c r="C29" i="24"/>
  <c r="C28" i="24"/>
  <c r="C27" i="24"/>
  <c r="C26" i="24"/>
  <c r="C25" i="24"/>
  <c r="C24" i="24"/>
  <c r="C23" i="24"/>
  <c r="C22" i="24"/>
  <c r="C21" i="24"/>
  <c r="C20" i="24"/>
  <c r="C19" i="24"/>
  <c r="C18" i="24"/>
  <c r="C17" i="24"/>
  <c r="C16" i="24"/>
  <c r="C15" i="24"/>
  <c r="C14" i="24"/>
  <c r="C13" i="24"/>
  <c r="C12" i="24"/>
  <c r="C11" i="24"/>
  <c r="C10" i="24"/>
  <c r="C9" i="24"/>
  <c r="C8" i="24"/>
  <c r="C7" i="24"/>
  <c r="C6" i="24"/>
  <c r="C5" i="24"/>
  <c r="C4" i="24"/>
  <c r="C3" i="24"/>
  <c r="C2" i="24"/>
  <c r="C129" i="20"/>
  <c r="C128" i="20"/>
  <c r="C127" i="20"/>
  <c r="C126" i="20"/>
  <c r="C125" i="20"/>
  <c r="C124" i="20"/>
  <c r="C123" i="20"/>
  <c r="C122" i="20"/>
  <c r="C121" i="20"/>
  <c r="C120" i="20"/>
  <c r="C119" i="20"/>
  <c r="C118" i="20"/>
  <c r="C117" i="20"/>
  <c r="C116" i="20"/>
  <c r="C115" i="20"/>
  <c r="C114" i="20"/>
  <c r="C113" i="20"/>
  <c r="C112" i="20"/>
  <c r="C111" i="20"/>
  <c r="C110" i="20"/>
  <c r="C109" i="20"/>
  <c r="C108" i="20"/>
  <c r="C107" i="20"/>
  <c r="C106" i="20"/>
  <c r="C105" i="20"/>
  <c r="C104" i="20"/>
  <c r="C103" i="20"/>
  <c r="C102" i="20"/>
  <c r="C101" i="20"/>
  <c r="C100" i="20"/>
  <c r="C99" i="20"/>
  <c r="C98" i="20"/>
  <c r="C97" i="20"/>
  <c r="C96" i="20"/>
  <c r="C95" i="20"/>
  <c r="C94" i="20"/>
  <c r="C93" i="20"/>
  <c r="C92" i="20"/>
  <c r="C91" i="20"/>
  <c r="C90" i="20"/>
  <c r="C89" i="20"/>
  <c r="C88" i="20"/>
  <c r="C87" i="20"/>
  <c r="C86" i="20"/>
  <c r="C85" i="20"/>
  <c r="C84" i="20"/>
  <c r="C83" i="20"/>
  <c r="C82" i="20"/>
  <c r="C81" i="20"/>
  <c r="C80" i="20"/>
  <c r="C79" i="20"/>
  <c r="C78" i="20"/>
  <c r="C77" i="20"/>
  <c r="C76" i="20"/>
  <c r="C75" i="20"/>
  <c r="C74" i="20"/>
  <c r="C73" i="20"/>
  <c r="C72" i="20"/>
  <c r="C71" i="20"/>
  <c r="C70" i="20"/>
  <c r="C69" i="20"/>
  <c r="C68" i="20"/>
  <c r="C67" i="20"/>
  <c r="C66" i="20"/>
  <c r="C65" i="20"/>
  <c r="C64" i="20"/>
  <c r="C63" i="20"/>
  <c r="C62" i="20"/>
  <c r="C61" i="20"/>
  <c r="C60" i="20"/>
  <c r="C59" i="20"/>
  <c r="C58" i="20"/>
  <c r="C57" i="20"/>
  <c r="C56" i="20"/>
  <c r="C55" i="20"/>
  <c r="C54" i="20"/>
  <c r="C53" i="20"/>
  <c r="C52" i="20"/>
  <c r="C51" i="20"/>
  <c r="C50" i="20"/>
  <c r="C49" i="20"/>
  <c r="C48" i="20"/>
  <c r="C47" i="20"/>
  <c r="C46" i="20"/>
  <c r="C45" i="20"/>
  <c r="C44" i="20"/>
  <c r="C43" i="20"/>
  <c r="C42" i="20"/>
  <c r="C41" i="20"/>
  <c r="C40" i="20"/>
  <c r="C39" i="20"/>
  <c r="C38" i="20"/>
  <c r="C37" i="20"/>
  <c r="C36" i="20"/>
  <c r="C35" i="20"/>
  <c r="C34" i="20"/>
  <c r="C33" i="20"/>
  <c r="C32" i="20"/>
  <c r="C31" i="20"/>
  <c r="C30" i="20"/>
  <c r="C29" i="20"/>
  <c r="C28" i="20"/>
  <c r="C27" i="20"/>
  <c r="C26" i="20"/>
  <c r="C25" i="20"/>
  <c r="C24" i="20"/>
  <c r="C23" i="20"/>
  <c r="C22" i="20"/>
  <c r="C21" i="20"/>
  <c r="C20" i="20"/>
  <c r="C19" i="20"/>
  <c r="C18" i="20"/>
  <c r="C17" i="20"/>
  <c r="C16" i="20"/>
  <c r="C15" i="20"/>
  <c r="C14" i="20"/>
  <c r="C13" i="20"/>
  <c r="C12" i="20"/>
  <c r="C11" i="20"/>
  <c r="C10" i="20"/>
  <c r="C9" i="20"/>
  <c r="C8" i="20"/>
  <c r="C7" i="20"/>
  <c r="C6" i="20"/>
  <c r="C5" i="20"/>
  <c r="C4" i="20"/>
  <c r="C3" i="20"/>
  <c r="C2" i="20"/>
  <c r="C129" i="18"/>
  <c r="C128" i="18"/>
  <c r="C127" i="18"/>
  <c r="C126" i="18"/>
  <c r="C125" i="18"/>
  <c r="C124" i="18"/>
  <c r="C123" i="18"/>
  <c r="C122" i="18"/>
  <c r="C121" i="18"/>
  <c r="C120" i="18"/>
  <c r="C119" i="18"/>
  <c r="C118" i="18"/>
  <c r="C117" i="18"/>
  <c r="C116" i="18"/>
  <c r="C115" i="18"/>
  <c r="C114" i="18"/>
  <c r="C113" i="18"/>
  <c r="C112" i="18"/>
  <c r="C111" i="18"/>
  <c r="C110" i="18"/>
  <c r="C109" i="18"/>
  <c r="C108" i="18"/>
  <c r="C107" i="18"/>
  <c r="C106" i="18"/>
  <c r="C105" i="18"/>
  <c r="C104" i="18"/>
  <c r="C103" i="18"/>
  <c r="C102" i="18"/>
  <c r="C101" i="18"/>
  <c r="C100" i="18"/>
  <c r="C99" i="18"/>
  <c r="C98" i="18"/>
  <c r="C97" i="18"/>
  <c r="C96" i="18"/>
  <c r="C95" i="18"/>
  <c r="C94" i="18"/>
  <c r="C93" i="18"/>
  <c r="C92" i="18"/>
  <c r="C91" i="18"/>
  <c r="C90" i="18"/>
  <c r="C89" i="18"/>
  <c r="C88" i="18"/>
  <c r="C87" i="18"/>
  <c r="C86" i="18"/>
  <c r="C85" i="18"/>
  <c r="C84" i="18"/>
  <c r="C83" i="18"/>
  <c r="C82" i="18"/>
  <c r="C81" i="18"/>
  <c r="C80" i="18"/>
  <c r="C79" i="18"/>
  <c r="C78" i="18"/>
  <c r="C77" i="18"/>
  <c r="C76" i="18"/>
  <c r="C75" i="18"/>
  <c r="C74" i="18"/>
  <c r="C73" i="18"/>
  <c r="C72" i="18"/>
  <c r="C71" i="18"/>
  <c r="C70" i="18"/>
  <c r="C69" i="18"/>
  <c r="C68" i="18"/>
  <c r="C67" i="18"/>
  <c r="C66" i="18"/>
  <c r="C65" i="18"/>
  <c r="C64" i="18"/>
  <c r="C63" i="18"/>
  <c r="C62" i="18"/>
  <c r="C36" i="18"/>
  <c r="C35" i="18"/>
  <c r="C34" i="18"/>
  <c r="C33" i="18"/>
  <c r="C32" i="18"/>
  <c r="C31" i="18"/>
  <c r="C30" i="18"/>
  <c r="C29" i="18"/>
  <c r="C28" i="18"/>
  <c r="C27" i="18"/>
  <c r="C26" i="18"/>
  <c r="C25" i="18"/>
  <c r="C24" i="18"/>
  <c r="C23" i="18"/>
  <c r="C22" i="18"/>
  <c r="C21" i="18"/>
  <c r="C20" i="18"/>
  <c r="C19" i="18"/>
  <c r="C18" i="18"/>
  <c r="C17" i="18"/>
  <c r="C16" i="18"/>
  <c r="C15" i="18"/>
  <c r="C14" i="18"/>
  <c r="C13" i="18"/>
  <c r="C12" i="18"/>
  <c r="C11" i="18"/>
  <c r="C10" i="18"/>
  <c r="C9" i="18"/>
  <c r="C8" i="18"/>
  <c r="C7" i="18"/>
  <c r="C6" i="18"/>
  <c r="C5" i="18"/>
  <c r="C4" i="18"/>
  <c r="C3" i="18"/>
  <c r="C2" i="18"/>
  <c r="C129" i="17"/>
  <c r="C128" i="17"/>
  <c r="C127" i="17"/>
  <c r="C126" i="17"/>
  <c r="C125" i="17"/>
  <c r="C124" i="17"/>
  <c r="C123" i="17"/>
  <c r="C122" i="17"/>
  <c r="C121" i="17"/>
  <c r="C120" i="17"/>
  <c r="C119" i="17"/>
  <c r="C118" i="17"/>
  <c r="C117" i="17"/>
  <c r="C116" i="17"/>
  <c r="C115" i="17"/>
  <c r="C114" i="17"/>
  <c r="C113" i="17"/>
  <c r="C112" i="17"/>
  <c r="C111" i="17"/>
  <c r="C110" i="17"/>
  <c r="C109" i="17"/>
  <c r="C108" i="17"/>
  <c r="C107" i="17"/>
  <c r="C106" i="17"/>
  <c r="C105" i="17"/>
  <c r="C104" i="17"/>
  <c r="C103" i="17"/>
  <c r="C102" i="17"/>
  <c r="C101" i="17"/>
  <c r="C100" i="17"/>
  <c r="C99" i="17"/>
  <c r="C98" i="17"/>
  <c r="C97" i="17"/>
  <c r="C96" i="17"/>
  <c r="C95" i="17"/>
  <c r="C94" i="17"/>
  <c r="C93" i="17"/>
  <c r="C92" i="17"/>
  <c r="C91" i="17"/>
  <c r="C90" i="17"/>
  <c r="C89" i="17"/>
  <c r="C88" i="17"/>
  <c r="C87" i="17"/>
  <c r="C86" i="17"/>
  <c r="C85" i="17"/>
  <c r="C84" i="17"/>
  <c r="C83" i="17"/>
  <c r="C82" i="17"/>
  <c r="C81" i="17"/>
  <c r="C80" i="17"/>
  <c r="C79" i="17"/>
  <c r="C78" i="17"/>
  <c r="C77" i="17"/>
  <c r="C76" i="17"/>
  <c r="C75" i="17"/>
  <c r="C74" i="17"/>
  <c r="C73" i="17"/>
  <c r="C72" i="17"/>
  <c r="C71" i="17"/>
  <c r="C70" i="17"/>
  <c r="C69" i="17"/>
  <c r="C68" i="17"/>
  <c r="C67" i="17"/>
  <c r="C66" i="17"/>
  <c r="C65" i="17"/>
  <c r="C64" i="17"/>
  <c r="C63" i="17"/>
  <c r="C62" i="17"/>
  <c r="C36" i="17"/>
  <c r="C35" i="17"/>
  <c r="C34" i="17"/>
  <c r="C33" i="17"/>
  <c r="C32" i="17"/>
  <c r="C31" i="17"/>
  <c r="C30" i="17"/>
  <c r="C29" i="17"/>
  <c r="C28" i="17"/>
  <c r="C27" i="17"/>
  <c r="C26" i="17"/>
  <c r="C25" i="17"/>
  <c r="C24" i="17"/>
  <c r="C23" i="17"/>
  <c r="C22" i="17"/>
  <c r="C21" i="17"/>
  <c r="C20" i="17"/>
  <c r="C19" i="17"/>
  <c r="C18" i="17"/>
  <c r="C17" i="17"/>
  <c r="C16" i="17"/>
  <c r="C15" i="17"/>
  <c r="C14" i="17"/>
  <c r="C13" i="17"/>
  <c r="C12" i="17"/>
  <c r="C11" i="17"/>
  <c r="C10" i="17"/>
  <c r="C9" i="17"/>
  <c r="C8" i="17"/>
  <c r="C7" i="17"/>
  <c r="C6" i="17"/>
  <c r="C5" i="17"/>
  <c r="C4" i="17"/>
  <c r="C3" i="17"/>
  <c r="C2" i="17"/>
  <c r="C129" i="16"/>
  <c r="C128" i="16"/>
  <c r="C127" i="16"/>
  <c r="C126" i="16"/>
  <c r="C125" i="16"/>
  <c r="C124" i="16"/>
  <c r="C123" i="16"/>
  <c r="C122" i="16"/>
  <c r="C121" i="16"/>
  <c r="C120" i="16"/>
  <c r="C119" i="16"/>
  <c r="C118" i="16"/>
  <c r="C117" i="16"/>
  <c r="C116" i="16"/>
  <c r="C115" i="16"/>
  <c r="C114" i="16"/>
  <c r="C113" i="16"/>
  <c r="C112" i="16"/>
  <c r="C111" i="16"/>
  <c r="C110" i="16"/>
  <c r="C109" i="16"/>
  <c r="C108" i="16"/>
  <c r="C107" i="16"/>
  <c r="C106" i="16"/>
  <c r="C105" i="16"/>
  <c r="C104" i="16"/>
  <c r="C103" i="16"/>
  <c r="C102" i="16"/>
  <c r="C101" i="16"/>
  <c r="C100" i="16"/>
  <c r="C99" i="16"/>
  <c r="C98" i="16"/>
  <c r="C97" i="16"/>
  <c r="C96" i="16"/>
  <c r="C95" i="16"/>
  <c r="C94" i="16"/>
  <c r="C93" i="16"/>
  <c r="C92" i="16"/>
  <c r="C91" i="16"/>
  <c r="C90" i="16"/>
  <c r="C89" i="16"/>
  <c r="C88" i="16"/>
  <c r="C87" i="16"/>
  <c r="C86" i="16"/>
  <c r="C85" i="16"/>
  <c r="C84" i="16"/>
  <c r="C83" i="16"/>
  <c r="C82" i="16"/>
  <c r="C81" i="16"/>
  <c r="C80" i="16"/>
  <c r="C79" i="16"/>
  <c r="C78" i="16"/>
  <c r="C77" i="16"/>
  <c r="C76" i="16"/>
  <c r="C75" i="16"/>
  <c r="C74" i="16"/>
  <c r="C73" i="16"/>
  <c r="C72" i="16"/>
  <c r="C71" i="16"/>
  <c r="C70" i="16"/>
  <c r="C69" i="16"/>
  <c r="C68" i="16"/>
  <c r="C67" i="16"/>
  <c r="C66" i="16"/>
  <c r="C65" i="16"/>
  <c r="C64" i="16"/>
  <c r="C63" i="16"/>
  <c r="C62" i="16"/>
  <c r="C36" i="16"/>
  <c r="C35" i="16"/>
  <c r="C34" i="16"/>
  <c r="C33" i="16"/>
  <c r="C32" i="16"/>
  <c r="C31" i="16"/>
  <c r="C30" i="16"/>
  <c r="C29" i="16"/>
  <c r="C28" i="16"/>
  <c r="C27" i="16"/>
  <c r="C26" i="16"/>
  <c r="C25" i="16"/>
  <c r="C24" i="16"/>
  <c r="C23" i="16"/>
  <c r="C22" i="16"/>
  <c r="C21" i="16"/>
  <c r="C20" i="16"/>
  <c r="C19" i="16"/>
  <c r="C18" i="16"/>
  <c r="C17" i="16"/>
  <c r="C16" i="16"/>
  <c r="C15" i="16"/>
  <c r="C14" i="16"/>
  <c r="C13" i="16"/>
  <c r="C12" i="16"/>
  <c r="C11" i="16"/>
  <c r="C10" i="16"/>
  <c r="C9" i="16"/>
  <c r="C8" i="16"/>
  <c r="C7" i="16"/>
  <c r="C6" i="16"/>
  <c r="C5" i="16"/>
  <c r="C4" i="16"/>
  <c r="C3" i="16"/>
  <c r="C2" i="16"/>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C6" i="15"/>
  <c r="C5" i="15"/>
  <c r="C4" i="15"/>
  <c r="C3" i="15"/>
  <c r="C2" i="15"/>
  <c r="C129" i="14"/>
  <c r="C128" i="14"/>
  <c r="C127" i="14"/>
  <c r="C126" i="14"/>
  <c r="C125" i="14"/>
  <c r="C124" i="14"/>
  <c r="C123" i="14"/>
  <c r="C122" i="14"/>
  <c r="C121" i="14"/>
  <c r="C120" i="14"/>
  <c r="C119" i="14"/>
  <c r="C118" i="14"/>
  <c r="C117" i="14"/>
  <c r="C116" i="14"/>
  <c r="C115" i="14"/>
  <c r="C114" i="14"/>
  <c r="C113" i="14"/>
  <c r="C112" i="14"/>
  <c r="C111" i="14"/>
  <c r="C110" i="14"/>
  <c r="C109" i="14"/>
  <c r="C108" i="14"/>
  <c r="C107" i="14"/>
  <c r="C106" i="14"/>
  <c r="C105" i="14"/>
  <c r="C104" i="14"/>
  <c r="C103" i="14"/>
  <c r="C102" i="14"/>
  <c r="C101" i="14"/>
  <c r="C100" i="14"/>
  <c r="C99" i="14"/>
  <c r="C98" i="14"/>
  <c r="C97" i="14"/>
  <c r="C96" i="14"/>
  <c r="C95" i="14"/>
  <c r="C94" i="14"/>
  <c r="C93" i="14"/>
  <c r="C92" i="14"/>
  <c r="C91" i="14"/>
  <c r="C90" i="14"/>
  <c r="C89" i="14"/>
  <c r="C88" i="14"/>
  <c r="C87" i="14"/>
  <c r="C86" i="14"/>
  <c r="C85" i="14"/>
  <c r="C84" i="14"/>
  <c r="C83" i="14"/>
  <c r="C82" i="14"/>
  <c r="C81" i="14"/>
  <c r="C80" i="14"/>
  <c r="C79" i="14"/>
  <c r="C78" i="14"/>
  <c r="C77" i="14"/>
  <c r="C76" i="14"/>
  <c r="C75" i="14"/>
  <c r="C74" i="14"/>
  <c r="C73" i="14"/>
  <c r="C72" i="14"/>
  <c r="C71" i="14"/>
  <c r="C70" i="14"/>
  <c r="C69" i="14"/>
  <c r="C68" i="14"/>
  <c r="C67" i="14"/>
  <c r="C66" i="14"/>
  <c r="C65" i="14"/>
  <c r="C64" i="14"/>
  <c r="C63" i="14"/>
  <c r="C62"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C2" i="14"/>
  <c r="C129" i="13"/>
  <c r="C128" i="13"/>
  <c r="C127" i="13"/>
  <c r="C126" i="13"/>
  <c r="C125" i="13"/>
  <c r="C124" i="13"/>
  <c r="C123" i="13"/>
  <c r="C122" i="13"/>
  <c r="C121" i="13"/>
  <c r="C120" i="13"/>
  <c r="C119" i="13"/>
  <c r="C118" i="13"/>
  <c r="C117" i="13"/>
  <c r="C116" i="13"/>
  <c r="C115" i="13"/>
  <c r="C114" i="13"/>
  <c r="C113" i="13"/>
  <c r="C112" i="13"/>
  <c r="C111" i="13"/>
  <c r="C110" i="13"/>
  <c r="C109" i="13"/>
  <c r="C108" i="13"/>
  <c r="C107" i="13"/>
  <c r="C106" i="13"/>
  <c r="C105" i="13"/>
  <c r="C104" i="13"/>
  <c r="C103" i="13"/>
  <c r="C102" i="13"/>
  <c r="C101" i="13"/>
  <c r="C100" i="13"/>
  <c r="C99" i="13"/>
  <c r="C98" i="13"/>
  <c r="C97" i="13"/>
  <c r="C96" i="13"/>
  <c r="C95" i="13"/>
  <c r="C94" i="13"/>
  <c r="C93" i="13"/>
  <c r="C92" i="13"/>
  <c r="C91" i="13"/>
  <c r="C90" i="13"/>
  <c r="C89" i="13"/>
  <c r="C88" i="13"/>
  <c r="C87" i="13"/>
  <c r="C86" i="13"/>
  <c r="C85" i="13"/>
  <c r="C84" i="13"/>
  <c r="C83" i="13"/>
  <c r="C82" i="13"/>
  <c r="C81" i="13"/>
  <c r="C80" i="13"/>
  <c r="C79" i="13"/>
  <c r="C78" i="13"/>
  <c r="C77" i="13"/>
  <c r="C76" i="13"/>
  <c r="C75" i="13"/>
  <c r="C74" i="13"/>
  <c r="C73" i="13"/>
  <c r="C72" i="13"/>
  <c r="C71" i="13"/>
  <c r="C70" i="13"/>
  <c r="C69" i="13"/>
  <c r="C68" i="13"/>
  <c r="C67" i="13"/>
  <c r="C66" i="13"/>
  <c r="C65" i="13"/>
  <c r="C64" i="13"/>
  <c r="C63" i="13"/>
  <c r="C62" i="13"/>
  <c r="C36" i="13"/>
  <c r="C35" i="13"/>
  <c r="C34" i="13"/>
  <c r="C33" i="13"/>
  <c r="C32" i="13"/>
  <c r="C31" i="13"/>
  <c r="C30" i="13"/>
  <c r="C29" i="13"/>
  <c r="C28" i="13"/>
  <c r="C27" i="13"/>
  <c r="C26" i="13"/>
  <c r="C25" i="13"/>
  <c r="C24" i="13"/>
  <c r="C23" i="13"/>
  <c r="C22" i="13"/>
  <c r="C21" i="13"/>
  <c r="C20" i="13"/>
  <c r="C19" i="13"/>
  <c r="C18" i="13"/>
  <c r="C17" i="13"/>
  <c r="C16" i="13"/>
  <c r="C15" i="13"/>
  <c r="C14" i="13"/>
  <c r="C13" i="13"/>
  <c r="C12" i="13"/>
  <c r="C11" i="13"/>
  <c r="C10" i="13"/>
  <c r="C9" i="13"/>
  <c r="C8" i="13"/>
  <c r="C7" i="13"/>
  <c r="C6" i="13"/>
  <c r="C5" i="13"/>
  <c r="C4" i="13"/>
  <c r="C3" i="13"/>
  <c r="C2" i="13"/>
  <c r="C129" i="12"/>
  <c r="C128" i="12"/>
  <c r="C127" i="12"/>
  <c r="C126" i="12"/>
  <c r="C125" i="12"/>
  <c r="C124" i="12"/>
  <c r="C123" i="12"/>
  <c r="C122" i="12"/>
  <c r="C121" i="12"/>
  <c r="C120" i="12"/>
  <c r="C119" i="12"/>
  <c r="C118" i="12"/>
  <c r="C117" i="12"/>
  <c r="C116" i="12"/>
  <c r="C115" i="12"/>
  <c r="C114" i="12"/>
  <c r="C113" i="12"/>
  <c r="C112" i="12"/>
  <c r="C111" i="12"/>
  <c r="C110" i="12"/>
  <c r="C109" i="12"/>
  <c r="C108" i="12"/>
  <c r="C107" i="12"/>
  <c r="C106" i="12"/>
  <c r="C105" i="12"/>
  <c r="C104" i="12"/>
  <c r="C103" i="12"/>
  <c r="C102" i="12"/>
  <c r="C101" i="12"/>
  <c r="C100" i="12"/>
  <c r="C99" i="12"/>
  <c r="C98" i="12"/>
  <c r="C97" i="12"/>
  <c r="C96"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36" i="12"/>
  <c r="C35" i="12"/>
  <c r="C34" i="12"/>
  <c r="C33" i="12"/>
  <c r="C32" i="12"/>
  <c r="C31" i="12"/>
  <c r="C30" i="12"/>
  <c r="C29" i="12"/>
  <c r="C28" i="12"/>
  <c r="C27" i="12"/>
  <c r="C26" i="12"/>
  <c r="C25" i="12"/>
  <c r="C24" i="12"/>
  <c r="C23" i="12"/>
  <c r="C22" i="12"/>
  <c r="C21" i="12"/>
  <c r="C20" i="12"/>
  <c r="C19" i="12"/>
  <c r="C18" i="12"/>
  <c r="C17" i="12"/>
  <c r="C16" i="12"/>
  <c r="C15" i="12"/>
  <c r="C14" i="12"/>
  <c r="C13" i="12"/>
  <c r="C12" i="12"/>
  <c r="C11" i="12"/>
  <c r="C10" i="12"/>
  <c r="C9" i="12"/>
  <c r="C8" i="12"/>
  <c r="C7" i="12"/>
  <c r="C6" i="12"/>
  <c r="C5" i="12"/>
  <c r="C4" i="12"/>
  <c r="C3" i="12"/>
  <c r="C2" i="12"/>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C3" i="11"/>
  <c r="C2" i="11"/>
  <c r="C129" i="10"/>
  <c r="C128"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C3" i="10"/>
  <c r="C2" i="10"/>
  <c r="C129" i="9"/>
  <c r="C128" i="9"/>
  <c r="C127" i="9"/>
  <c r="C126" i="9"/>
  <c r="C125" i="9"/>
  <c r="C124" i="9"/>
  <c r="C123" i="9"/>
  <c r="C122"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36" i="9"/>
  <c r="C35" i="9"/>
  <c r="C34" i="9"/>
  <c r="C33" i="9"/>
  <c r="C32" i="9"/>
  <c r="C31" i="9"/>
  <c r="C30" i="9"/>
  <c r="C29" i="9"/>
  <c r="C28" i="9"/>
  <c r="C27" i="9"/>
  <c r="C26" i="9"/>
  <c r="C25" i="9"/>
  <c r="C24" i="9"/>
  <c r="C23" i="9"/>
  <c r="C22" i="9"/>
  <c r="C21" i="9"/>
  <c r="C20" i="9"/>
  <c r="C19" i="9"/>
  <c r="C18" i="9"/>
  <c r="C17" i="9"/>
  <c r="C16" i="9"/>
  <c r="C15" i="9"/>
  <c r="C14" i="9"/>
  <c r="C13" i="9"/>
  <c r="C12" i="9"/>
  <c r="C11" i="9"/>
  <c r="C10" i="9"/>
  <c r="C9" i="9"/>
  <c r="C8" i="9"/>
  <c r="C7" i="9"/>
  <c r="C6" i="9"/>
  <c r="C5" i="9"/>
  <c r="C4" i="9"/>
  <c r="C3" i="9"/>
  <c r="C2" i="9"/>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C3" i="8"/>
  <c r="C2" i="8"/>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C3" i="7"/>
  <c r="C2" i="7"/>
  <c r="C129" i="1" l="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36" i="1"/>
  <c r="C35" i="1"/>
  <c r="C34" i="1"/>
  <c r="C33" i="1"/>
  <c r="C32" i="1"/>
  <c r="C31" i="1"/>
  <c r="C30" i="1"/>
  <c r="C29" i="1"/>
  <c r="C28" i="1"/>
  <c r="C27" i="1"/>
  <c r="C26" i="1"/>
  <c r="C25" i="1"/>
  <c r="C24" i="1"/>
  <c r="C23" i="1"/>
  <c r="C22" i="1"/>
  <c r="C21" i="1"/>
  <c r="C20" i="1"/>
  <c r="C19" i="1"/>
  <c r="C18" i="1"/>
  <c r="C17" i="1"/>
  <c r="C16" i="1"/>
  <c r="C15" i="1"/>
  <c r="C14" i="1"/>
  <c r="C13" i="1"/>
  <c r="C12" i="1"/>
  <c r="C11" i="1"/>
  <c r="C10" i="1"/>
  <c r="C9" i="1"/>
  <c r="C8" i="1"/>
  <c r="C7" i="1"/>
  <c r="C6" i="1"/>
  <c r="C5" i="1"/>
  <c r="C4" i="1"/>
  <c r="C3" i="1"/>
  <c r="C2" i="1"/>
</calcChain>
</file>

<file path=xl/sharedStrings.xml><?xml version="1.0" encoding="utf-8"?>
<sst xmlns="http://schemas.openxmlformats.org/spreadsheetml/2006/main" count="5803" uniqueCount="1306">
  <si>
    <t>Pitch</t>
    <phoneticPr fontId="4"/>
  </si>
  <si>
    <t>Note</t>
    <phoneticPr fontId="4"/>
  </si>
  <si>
    <t>C-2</t>
  </si>
  <si>
    <t>C#-2</t>
  </si>
  <si>
    <t>D-2</t>
  </si>
  <si>
    <t>D#-2</t>
  </si>
  <si>
    <t>E-2</t>
  </si>
  <si>
    <t>F-2</t>
  </si>
  <si>
    <t>F#-2</t>
  </si>
  <si>
    <t>G-2</t>
  </si>
  <si>
    <t>G#-2</t>
  </si>
  <si>
    <t>A-2</t>
  </si>
  <si>
    <t>A#-2</t>
  </si>
  <si>
    <t>B-2</t>
  </si>
  <si>
    <t>C-1</t>
  </si>
  <si>
    <t>C#-1</t>
  </si>
  <si>
    <t>D-1</t>
  </si>
  <si>
    <t>D#-1</t>
  </si>
  <si>
    <t>E-1</t>
  </si>
  <si>
    <t>F-1</t>
  </si>
  <si>
    <t>F#-1</t>
  </si>
  <si>
    <t>G-1</t>
  </si>
  <si>
    <t>G#-1</t>
  </si>
  <si>
    <t>A-1</t>
  </si>
  <si>
    <t>A#-1</t>
  </si>
  <si>
    <t>B-1</t>
  </si>
  <si>
    <t>C0</t>
  </si>
  <si>
    <t>C#0</t>
  </si>
  <si>
    <t>D0</t>
  </si>
  <si>
    <t>D#0</t>
  </si>
  <si>
    <t>E0</t>
  </si>
  <si>
    <t>F0</t>
  </si>
  <si>
    <t>F#0</t>
  </si>
  <si>
    <t>G0</t>
  </si>
  <si>
    <t>G#0</t>
  </si>
  <si>
    <t>A0</t>
  </si>
  <si>
    <t>A#0</t>
  </si>
  <si>
    <t>B0</t>
  </si>
  <si>
    <t>C1</t>
  </si>
  <si>
    <t>C#1</t>
  </si>
  <si>
    <t>D1</t>
  </si>
  <si>
    <t>D#1</t>
  </si>
  <si>
    <t>E1</t>
  </si>
  <si>
    <t>F1</t>
  </si>
  <si>
    <t>F#1</t>
  </si>
  <si>
    <t>G1</t>
  </si>
  <si>
    <t>G#1</t>
  </si>
  <si>
    <t>A1</t>
  </si>
  <si>
    <t>A#1</t>
  </si>
  <si>
    <t>B1</t>
  </si>
  <si>
    <t>C2</t>
  </si>
  <si>
    <t>C#2</t>
  </si>
  <si>
    <t>D2</t>
  </si>
  <si>
    <t>D#2</t>
  </si>
  <si>
    <t>E2</t>
  </si>
  <si>
    <t>F2</t>
  </si>
  <si>
    <t>F#2</t>
  </si>
  <si>
    <t>G2</t>
  </si>
  <si>
    <t>G#2</t>
  </si>
  <si>
    <t>A2</t>
  </si>
  <si>
    <t>A#2</t>
  </si>
  <si>
    <t>B2</t>
  </si>
  <si>
    <t>C3</t>
  </si>
  <si>
    <t>C#3</t>
  </si>
  <si>
    <t>D3</t>
  </si>
  <si>
    <t>D#3</t>
  </si>
  <si>
    <t>E3</t>
  </si>
  <si>
    <t>F3</t>
  </si>
  <si>
    <t>F#3</t>
  </si>
  <si>
    <t>G3</t>
  </si>
  <si>
    <t>G#3</t>
  </si>
  <si>
    <t>A3</t>
  </si>
  <si>
    <t>A#3</t>
  </si>
  <si>
    <t>B3</t>
  </si>
  <si>
    <t>C4</t>
  </si>
  <si>
    <t>C#4</t>
  </si>
  <si>
    <t>D4</t>
  </si>
  <si>
    <t>D#4</t>
  </si>
  <si>
    <t>E4</t>
  </si>
  <si>
    <t>F4</t>
  </si>
  <si>
    <t>F#4</t>
  </si>
  <si>
    <t>G4</t>
  </si>
  <si>
    <t>G#4</t>
  </si>
  <si>
    <t>A4</t>
  </si>
  <si>
    <t>A#4</t>
  </si>
  <si>
    <t>B4</t>
  </si>
  <si>
    <t>C5</t>
  </si>
  <si>
    <t>C#5</t>
  </si>
  <si>
    <t>D5</t>
  </si>
  <si>
    <t>D#5</t>
  </si>
  <si>
    <t>E5</t>
  </si>
  <si>
    <t>F5</t>
  </si>
  <si>
    <t>F#5</t>
  </si>
  <si>
    <t>G5</t>
  </si>
  <si>
    <t>G#5</t>
  </si>
  <si>
    <t>A5</t>
  </si>
  <si>
    <t>A#5</t>
  </si>
  <si>
    <t>B5</t>
  </si>
  <si>
    <t>C6</t>
  </si>
  <si>
    <t>C#6</t>
  </si>
  <si>
    <t>D6</t>
  </si>
  <si>
    <t>D#6</t>
  </si>
  <si>
    <t>E6</t>
  </si>
  <si>
    <t>F6</t>
  </si>
  <si>
    <t>F#6</t>
  </si>
  <si>
    <t>G6</t>
  </si>
  <si>
    <t>G#6</t>
  </si>
  <si>
    <t>A6</t>
  </si>
  <si>
    <t>A#6</t>
  </si>
  <si>
    <t>B6</t>
  </si>
  <si>
    <t>C7</t>
  </si>
  <si>
    <t>C#7</t>
  </si>
  <si>
    <t>D7</t>
  </si>
  <si>
    <t>D#7</t>
  </si>
  <si>
    <t>E7</t>
  </si>
  <si>
    <t>F7</t>
  </si>
  <si>
    <t>F#7</t>
  </si>
  <si>
    <t>G7</t>
  </si>
  <si>
    <t>G#7</t>
  </si>
  <si>
    <t>A7</t>
  </si>
  <si>
    <t>A#7</t>
  </si>
  <si>
    <t>B7</t>
  </si>
  <si>
    <t>C8</t>
  </si>
  <si>
    <t>C#8</t>
  </si>
  <si>
    <t>D8</t>
  </si>
  <si>
    <t>D#8</t>
  </si>
  <si>
    <t>E8</t>
  </si>
  <si>
    <t>F8</t>
  </si>
  <si>
    <t>F#8</t>
  </si>
  <si>
    <t>G8</t>
  </si>
  <si>
    <t>Number</t>
    <phoneticPr fontId="1"/>
  </si>
  <si>
    <t>Name</t>
    <phoneticPr fontId="1"/>
  </si>
  <si>
    <t>Articulation</t>
    <phoneticPr fontId="1"/>
  </si>
  <si>
    <t>Kick Open</t>
  </si>
  <si>
    <t>FF2A2AFF</t>
  </si>
  <si>
    <t>Kick Hit</t>
  </si>
  <si>
    <t>Snare Center</t>
  </si>
  <si>
    <t>FF2ACAFF</t>
  </si>
  <si>
    <t>Snare Off Center</t>
  </si>
  <si>
    <t>Snare Edge</t>
  </si>
  <si>
    <t>Snare Flam</t>
  </si>
  <si>
    <t>Snare Closed Roll</t>
  </si>
  <si>
    <t>FF3387DC</t>
  </si>
  <si>
    <t>nhSl</t>
  </si>
  <si>
    <t>Snare Rim Only</t>
  </si>
  <si>
    <t>Snare Sidestick</t>
  </si>
  <si>
    <t>FF2C6A8B</t>
  </si>
  <si>
    <t>nhdX</t>
  </si>
  <si>
    <t>FF306836</t>
  </si>
  <si>
    <t>Hi-Hat Closed Edge</t>
  </si>
  <si>
    <t>FF2AFF94</t>
  </si>
  <si>
    <t>Hi-Hat Tight Edge</t>
  </si>
  <si>
    <t>Hi-Hat Sequenced Hit</t>
  </si>
  <si>
    <t>Hi-Hat Closed Tip</t>
  </si>
  <si>
    <t>Hi-Hat Tight Tip</t>
  </si>
  <si>
    <t>Hi-Hat Closed Bell</t>
  </si>
  <si>
    <t>Hi-Hat Open Edge 0</t>
  </si>
  <si>
    <t>FF54FC1D</t>
  </si>
  <si>
    <t>circ</t>
  </si>
  <si>
    <t>Hi-Hat Open Edge 1</t>
  </si>
  <si>
    <t>Hi-Hat Open Edge 2</t>
  </si>
  <si>
    <t>Hi-Hat Open Edge 3</t>
  </si>
  <si>
    <t>Hi-Hat Open Edge 4</t>
  </si>
  <si>
    <t>Hi-Hat Open Edge 5</t>
  </si>
  <si>
    <t>Hi-Hat Open Tip 0</t>
  </si>
  <si>
    <t>Hi-Hat Open Tip 1</t>
  </si>
  <si>
    <t>Hi-Hat Open Tip 2</t>
  </si>
  <si>
    <t>Hi-Hat Open Tip 3</t>
  </si>
  <si>
    <t>Hi-Hat Open Tip 4</t>
  </si>
  <si>
    <t>Hi-Hat Open Tip 5</t>
  </si>
  <si>
    <t>Hi-Hat Open Bell 0</t>
  </si>
  <si>
    <t>Hi-Hat Open Bell 1</t>
  </si>
  <si>
    <t>Hi-Hat Open Bell 2</t>
  </si>
  <si>
    <t>Hi-Hat Open Bell 3</t>
  </si>
  <si>
    <t>Hi-Hat Open Bell 4</t>
  </si>
  <si>
    <t>Ride 1 Bow Tip 1</t>
  </si>
  <si>
    <t>FF2AFFE5</t>
  </si>
  <si>
    <t>nhDi</t>
  </si>
  <si>
    <t>Ride 1 Bow Tip 2</t>
  </si>
  <si>
    <t>Ride 1 Bow Shank</t>
  </si>
  <si>
    <t>Ride 1 Bell Tip</t>
  </si>
  <si>
    <t>Ride 1 Bell Shank</t>
  </si>
  <si>
    <t>Ride 1 Edge</t>
  </si>
  <si>
    <t>Ride 1 Choke</t>
  </si>
  <si>
    <t>Ride 2 Bow Tip</t>
  </si>
  <si>
    <t>Ride 2 Bow Shank</t>
  </si>
  <si>
    <t>Ride 2 Bell Tip</t>
  </si>
  <si>
    <t>Ride 2 Choke</t>
  </si>
  <si>
    <t>FFFFF33A</t>
  </si>
  <si>
    <t>Racktom 1 Rimshot</t>
  </si>
  <si>
    <t>FFEDE135</t>
  </si>
  <si>
    <t>Racktom 2 Rimshot</t>
  </si>
  <si>
    <t>FFCFC536</t>
  </si>
  <si>
    <t>Racktom 3 Rimshot</t>
  </si>
  <si>
    <t>FFBAB134</t>
  </si>
  <si>
    <t>Racktom 4 Rimshot</t>
  </si>
  <si>
    <t>Floortom 1 Center</t>
  </si>
  <si>
    <t>FFFFAD2A</t>
  </si>
  <si>
    <t>Floortom 1 Rimshot</t>
  </si>
  <si>
    <t>Floortom 1 Rim Only</t>
  </si>
  <si>
    <t>Floortom 1 Mute</t>
  </si>
  <si>
    <t>Floortom 2 Center</t>
  </si>
  <si>
    <t>FFF09E1C</t>
  </si>
  <si>
    <t>Floortom 2 Rimshot</t>
  </si>
  <si>
    <t>Floortom 2 Rim Only</t>
  </si>
  <si>
    <t>FFCA2AFF</t>
  </si>
  <si>
    <t>Crash L Bow Tip</t>
  </si>
  <si>
    <t>Crash L Bow Shank</t>
  </si>
  <si>
    <t>Crash L Bell Tip</t>
  </si>
  <si>
    <t>Crash L Bell Shank</t>
  </si>
  <si>
    <t>Crash L Choke</t>
  </si>
  <si>
    <t>FFF01CD2</t>
  </si>
  <si>
    <t>Crash R Bow Tip</t>
  </si>
  <si>
    <t>Crash R Bow Shank</t>
  </si>
  <si>
    <t>Crash R Bell Tip</t>
  </si>
  <si>
    <t>Crash R Bell Shank</t>
  </si>
  <si>
    <t>Crash R Choke</t>
  </si>
  <si>
    <t>FFA11ECC</t>
  </si>
  <si>
    <t>FFB21B9E</t>
  </si>
  <si>
    <t>nhCX</t>
  </si>
  <si>
    <t>FFCC1E76</t>
  </si>
  <si>
    <t>FF7C1F67</t>
  </si>
  <si>
    <t>FF722AFF</t>
  </si>
  <si>
    <t>FF631CF0</t>
  </si>
  <si>
    <t>FF591ECC</t>
  </si>
  <si>
    <t>FF4D1BB2</t>
  </si>
  <si>
    <t>Color</t>
    <phoneticPr fontId="1"/>
  </si>
  <si>
    <t>Score Pitch</t>
    <phoneticPr fontId="1"/>
  </si>
  <si>
    <t>Note Head</t>
    <phoneticPr fontId="1"/>
  </si>
  <si>
    <t>Techniq</t>
    <phoneticPr fontId="1"/>
  </si>
  <si>
    <t>Order</t>
    <phoneticPr fontId="1"/>
  </si>
  <si>
    <t>Kick</t>
  </si>
  <si>
    <t>Kick</t>
    <phoneticPr fontId="1"/>
  </si>
  <si>
    <t>Snare</t>
    <phoneticPr fontId="1"/>
  </si>
  <si>
    <t>Snare Rimshot</t>
    <phoneticPr fontId="1"/>
  </si>
  <si>
    <t>Snare Sidestick</t>
    <phoneticPr fontId="1"/>
  </si>
  <si>
    <t>Hi-Hat Pedal</t>
    <phoneticPr fontId="1"/>
  </si>
  <si>
    <t>Ride 1</t>
    <phoneticPr fontId="1"/>
  </si>
  <si>
    <t>Ride 2</t>
    <phoneticPr fontId="1"/>
  </si>
  <si>
    <t>Racktom 3</t>
  </si>
  <si>
    <t>Racktom 4</t>
  </si>
  <si>
    <t>Floortom 1</t>
    <phoneticPr fontId="1"/>
  </si>
  <si>
    <t>Floortom 2</t>
    <phoneticPr fontId="1"/>
  </si>
  <si>
    <t>Crash L</t>
    <phoneticPr fontId="1"/>
  </si>
  <si>
    <t>Crash R</t>
    <phoneticPr fontId="1"/>
  </si>
  <si>
    <t>Kit Piece ID</t>
    <phoneticPr fontId="1"/>
  </si>
  <si>
    <t>Kit Piece Name</t>
    <phoneticPr fontId="1"/>
  </si>
  <si>
    <t>Acoustic Bass Drum</t>
  </si>
  <si>
    <t>Bass Drum 1</t>
  </si>
  <si>
    <t>Side Stick</t>
  </si>
  <si>
    <t>Acoustic Snare</t>
  </si>
  <si>
    <t>Hand Clap</t>
  </si>
  <si>
    <t>Electric Snare</t>
  </si>
  <si>
    <t>Low Floor Tom</t>
  </si>
  <si>
    <t>Closed Hi-hat</t>
  </si>
  <si>
    <t>High Floor Tom</t>
  </si>
  <si>
    <t>Pedal Hi-hat</t>
  </si>
  <si>
    <t>Low Tom</t>
  </si>
  <si>
    <t>Open Hi-hat</t>
  </si>
  <si>
    <t>Low-Mid Tom</t>
  </si>
  <si>
    <t>High Mid Tom</t>
  </si>
  <si>
    <t>High Tom</t>
  </si>
  <si>
    <t>Chinese Cymbal</t>
  </si>
  <si>
    <t>Ride Bell</t>
  </si>
  <si>
    <t>Tambourine</t>
  </si>
  <si>
    <t>Splash Cymbal</t>
  </si>
  <si>
    <t>Cowbell</t>
  </si>
  <si>
    <t>Vibra-slap</t>
  </si>
  <si>
    <t>High Bongo</t>
  </si>
  <si>
    <t>Low Bongo</t>
  </si>
  <si>
    <t>Mute Hi Conga</t>
  </si>
  <si>
    <t>Open Hi Conga</t>
  </si>
  <si>
    <t>Low Conga</t>
  </si>
  <si>
    <t>High Timbale</t>
  </si>
  <si>
    <t>Low Timbale</t>
  </si>
  <si>
    <t>High Agogo</t>
  </si>
  <si>
    <t>Low Agogo</t>
  </si>
  <si>
    <t>Cabasa</t>
  </si>
  <si>
    <t>Maracas</t>
  </si>
  <si>
    <t>Short Whistle</t>
  </si>
  <si>
    <t>Long Whistle</t>
  </si>
  <si>
    <t>Short Guiro</t>
  </si>
  <si>
    <t>Long Guiro</t>
  </si>
  <si>
    <t>Claves</t>
  </si>
  <si>
    <t>Hi Wood Block</t>
  </si>
  <si>
    <t>Low Wood Block</t>
  </si>
  <si>
    <t>Mute Cuica</t>
  </si>
  <si>
    <t>Open Cuica</t>
  </si>
  <si>
    <t>Mute Triangle</t>
  </si>
  <si>
    <t>Open Triangle</t>
  </si>
  <si>
    <t>*</t>
  </si>
  <si>
    <t>Ride 2 CC Pos Tip&lt;-&gt;Bell</t>
  </si>
  <si>
    <t>Ride 1 CC Pos Tip&lt;-&gt;Bell</t>
  </si>
  <si>
    <t>Snare CC Pos Closed&lt;-&gt;Shallow [brush]</t>
  </si>
  <si>
    <t>Snare CC Pos Open&lt;-&gt;Shallow</t>
  </si>
  <si>
    <t>HiHat CC Shaft</t>
  </si>
  <si>
    <t>HiHat CC Tip</t>
  </si>
  <si>
    <t>HiHat CC Bell</t>
  </si>
  <si>
    <t>Snare Open Hit</t>
  </si>
  <si>
    <t>Snare Open Hit [dbl]</t>
  </si>
  <si>
    <t>Snare SideStick</t>
  </si>
  <si>
    <t>Snare Shallow Hit</t>
  </si>
  <si>
    <t>Snare RimClick</t>
  </si>
  <si>
    <t>Ride 1 Tip [dbl]</t>
  </si>
  <si>
    <t>Flex 1 Hit A</t>
  </si>
  <si>
    <t>HH Foot Close</t>
  </si>
  <si>
    <t>HH Closed1 Tip</t>
  </si>
  <si>
    <t>HH Closed1 Shaft</t>
  </si>
  <si>
    <t>HH Closed2 Tip</t>
  </si>
  <si>
    <t>HH Closed2 Shaft</t>
  </si>
  <si>
    <t>HH Closed Bell</t>
  </si>
  <si>
    <t>HH Open A</t>
  </si>
  <si>
    <t>HH Open B</t>
  </si>
  <si>
    <t>HH Open C</t>
  </si>
  <si>
    <t>HH Open D</t>
  </si>
  <si>
    <t>HH Open Bell</t>
  </si>
  <si>
    <t>HH Foot Splash</t>
  </si>
  <si>
    <t>Ride 1 Tip</t>
  </si>
  <si>
    <t>Ride 1 Bell</t>
  </si>
  <si>
    <t>Ride 1 Shaft</t>
  </si>
  <si>
    <t>Tom 4 Open Hit</t>
  </si>
  <si>
    <t>Tom 4 Rimshot</t>
  </si>
  <si>
    <t>Tom 3 Open Hit</t>
  </si>
  <si>
    <t>Tom 3 Rimshot</t>
  </si>
  <si>
    <t>Tom 2 Open Hit</t>
  </si>
  <si>
    <t>Tom 2 Rimshot</t>
  </si>
  <si>
    <t>Tom 1 Open Hit</t>
  </si>
  <si>
    <t>Tom 1 Rimshot</t>
  </si>
  <si>
    <t>Flex 1 Hit B</t>
  </si>
  <si>
    <t>Flex 1 Hit C</t>
  </si>
  <si>
    <t>Sticks</t>
  </si>
  <si>
    <t>Flex 1 Hit D</t>
  </si>
  <si>
    <t>Ride 2 Tip</t>
  </si>
  <si>
    <t>Ride 2 Bell</t>
  </si>
  <si>
    <t>Ride 2 Shaft</t>
  </si>
  <si>
    <t>Flex 2 Hit A</t>
  </si>
  <si>
    <t>Flex 2 Hit B</t>
  </si>
  <si>
    <t>Flex 2 Hit C</t>
  </si>
  <si>
    <t>Flex 2 Hit D</t>
  </si>
  <si>
    <t>Flex 3 Hit A</t>
  </si>
  <si>
    <t>Flex 3 Hit B</t>
  </si>
  <si>
    <t>Flex 3 Hit C</t>
  </si>
  <si>
    <t>Flex 3 Hit D</t>
  </si>
  <si>
    <t>Hihat Variable Tip</t>
  </si>
  <si>
    <t>Hihat Variable Shank</t>
  </si>
  <si>
    <t>Hihat Variable Bell</t>
  </si>
  <si>
    <t>Snare Side Stick</t>
  </si>
  <si>
    <t>Snare Hit</t>
  </si>
  <si>
    <t>Snare Half Edge</t>
  </si>
  <si>
    <t>Snare Rim Shot</t>
  </si>
  <si>
    <t>Hihat Closed Tip</t>
  </si>
  <si>
    <t>Floor Tom Hit</t>
  </si>
  <si>
    <t>Hihat Pedal</t>
  </si>
  <si>
    <t>Floor Tom 2 Hit</t>
  </si>
  <si>
    <t>Hihat Open Tip</t>
  </si>
  <si>
    <t>Mid Tom Hit</t>
  </si>
  <si>
    <t>Mid Tom 2 Hit</t>
  </si>
  <si>
    <t>Hihat Closed Shank</t>
  </si>
  <si>
    <t>High Tom Hit</t>
  </si>
  <si>
    <t>Hihat Open Shank</t>
  </si>
  <si>
    <t>High Tom 2 Hit</t>
  </si>
  <si>
    <t>Crash 1 Edge</t>
  </si>
  <si>
    <t>Hihat 1/4 Tip</t>
  </si>
  <si>
    <t>Crash 2 Edge</t>
  </si>
  <si>
    <t>Hihat 1/4 Shank</t>
  </si>
  <si>
    <t>Hihat Half Tip</t>
  </si>
  <si>
    <t>Hihat Half Shank</t>
  </si>
  <si>
    <t>Hihat 3/4 Tip</t>
  </si>
  <si>
    <t>Crash 1 Bow</t>
  </si>
  <si>
    <t>Crash 2 Bow</t>
  </si>
  <si>
    <t>Hihat 3/4 Shank</t>
  </si>
  <si>
    <t>Hihat Splash</t>
  </si>
  <si>
    <t>Hihat Bell Tip</t>
  </si>
  <si>
    <t>Ride 1 Bow</t>
  </si>
  <si>
    <t>Floor Tom Rim Shot</t>
  </si>
  <si>
    <t>Crash 1 Bell</t>
  </si>
  <si>
    <t>Floor Tom 2 Rim Shot</t>
  </si>
  <si>
    <t>Crash 2 Bell</t>
  </si>
  <si>
    <t>Mid Tom Rim Shot</t>
  </si>
  <si>
    <t>Mid Tom 2 Rim Shot</t>
  </si>
  <si>
    <t>High Tom Rim Shot</t>
  </si>
  <si>
    <t>Crash 1 Hit</t>
  </si>
  <si>
    <t>High Tom 2 Rim Shot</t>
  </si>
  <si>
    <t>Crash 2 Hit</t>
  </si>
  <si>
    <t>Crash 1 Choke</t>
  </si>
  <si>
    <t>Crash 2 Choke</t>
  </si>
  <si>
    <t>Ride 1 Hit</t>
  </si>
  <si>
    <t>Perc Hit</t>
  </si>
  <si>
    <t>Kick No Snare</t>
  </si>
  <si>
    <t>Snare Rim Click</t>
  </si>
  <si>
    <t>Floor Tom Rim Click</t>
  </si>
  <si>
    <t>Floor Tom 2 Rim Click</t>
  </si>
  <si>
    <t>Mid Tom Rim Click</t>
  </si>
  <si>
    <t>Mid Tom 2 Rim Click</t>
  </si>
  <si>
    <t>High Tom Rim Click</t>
  </si>
  <si>
    <t>High Tom 2 Rim Click</t>
  </si>
  <si>
    <t>Perc 2 Hit</t>
  </si>
  <si>
    <t>One Shot Hit</t>
  </si>
  <si>
    <t>Shaker Shake Hit Immediate</t>
  </si>
  <si>
    <t>Tambourine Shake Hit Immediate</t>
  </si>
  <si>
    <t>Snare Zone Trigger</t>
  </si>
  <si>
    <t>Hi-Hat Edge Trigger</t>
  </si>
  <si>
    <t>Hi-Hat Tip Trigger</t>
  </si>
  <si>
    <t>Hi-Hat Pedal Open</t>
  </si>
  <si>
    <t>Crash 2 Crash</t>
  </si>
  <si>
    <t>Ride Bow</t>
  </si>
  <si>
    <t>Crash 3 Bow</t>
  </si>
  <si>
    <t>Crash 3 Crash</t>
  </si>
  <si>
    <t>Crash 2 Muted Hit</t>
  </si>
  <si>
    <t>China Muted Hit</t>
  </si>
  <si>
    <t>Splash Muted Hit</t>
  </si>
  <si>
    <t>Crash 3 Muted Hit</t>
  </si>
  <si>
    <t>Ride Edge</t>
  </si>
  <si>
    <t>Crash 1 Muted Hit</t>
  </si>
  <si>
    <t>Crash 1 Crash</t>
  </si>
  <si>
    <t>Crash 4 Muted Hit</t>
  </si>
  <si>
    <t>Crash 4 Bow</t>
  </si>
  <si>
    <t>Crash 4 Crash</t>
  </si>
  <si>
    <t>China Bow</t>
  </si>
  <si>
    <t>Ride Muted Hit</t>
  </si>
  <si>
    <t>Crash 2 Bow Tip</t>
  </si>
  <si>
    <t>Ride Bow Tip</t>
  </si>
  <si>
    <t>Crash 3 Bow Tip</t>
  </si>
  <si>
    <t>Crash 1 Bow Tip</t>
  </si>
  <si>
    <t>Crash 4 Bow Tip</t>
  </si>
  <si>
    <t>Stack Bow</t>
  </si>
  <si>
    <t>Stack Crash</t>
  </si>
  <si>
    <t>Floortom Center</t>
  </si>
  <si>
    <t>Stack Mute</t>
  </si>
  <si>
    <t>Floortom Rim Only</t>
  </si>
  <si>
    <t>Floortom Rimshot</t>
  </si>
  <si>
    <t>Hi-Hat hatsTrig</t>
  </si>
  <si>
    <t>Hi-Hat hatsTipTrig</t>
  </si>
  <si>
    <t>Hi-Hat hatsBellTrig</t>
  </si>
  <si>
    <t>Hi-Hat Open 1</t>
  </si>
  <si>
    <t>Hi-Hat Open 2</t>
  </si>
  <si>
    <t>Hi-Hat Open 3</t>
  </si>
  <si>
    <t>Hi-Hat Open 4</t>
  </si>
  <si>
    <t>Crash Ride Crash</t>
  </si>
  <si>
    <t>Snare Center Alt</t>
  </si>
  <si>
    <t>Floortom Center Alt</t>
  </si>
  <si>
    <t>Crash Ride Muted Hit</t>
  </si>
  <si>
    <t>Ride Bow Shank</t>
  </si>
  <si>
    <t>Ride Bell Shank</t>
  </si>
  <si>
    <t>Ride Bell Tip</t>
  </si>
  <si>
    <t>Ride Mute</t>
  </si>
  <si>
    <t>Sticks Counts</t>
  </si>
  <si>
    <t>Hi-Hat Bell Closed</t>
  </si>
  <si>
    <t>Hi-Hat Bell Open 1</t>
  </si>
  <si>
    <t>Hi-Hat Bell Open 2</t>
  </si>
  <si>
    <t>China 1 Crash</t>
  </si>
  <si>
    <t>Spock Crash</t>
  </si>
  <si>
    <t>Kick 2 Left</t>
  </si>
  <si>
    <t>Kick 1 Right</t>
  </si>
  <si>
    <t>China 2 Crash</t>
  </si>
  <si>
    <t/>
  </si>
  <si>
    <t>Hi-Hat Shaft Trigger</t>
  </si>
  <si>
    <t>Hi-Hat Bell Trigger</t>
  </si>
  <si>
    <t>Hi-Hat Sequenced Hits</t>
  </si>
  <si>
    <t>Ride Mute Hit</t>
  </si>
  <si>
    <t>Ride Bow Tip 2</t>
  </si>
  <si>
    <t>Ride Bow Tip 1</t>
  </si>
  <si>
    <t>Floortom Mute</t>
  </si>
  <si>
    <t>Crash 1 Bell Shank</t>
  </si>
  <si>
    <t>Crash 2 Bell Shank</t>
  </si>
  <si>
    <t>Crash 1 Bow Shank</t>
  </si>
  <si>
    <t>Crash 1 Bell Tip</t>
  </si>
  <si>
    <t>Crash 2 Bow Shank</t>
  </si>
  <si>
    <t>Crash 2 Bell Tip</t>
  </si>
  <si>
    <t>Crash 3 Bell Shank</t>
  </si>
  <si>
    <t>Crash 3 Bow Shank</t>
  </si>
  <si>
    <t>Crash 3 Bell Tip</t>
  </si>
  <si>
    <t>Spock Muted Hit</t>
  </si>
  <si>
    <t>Crash 4 Bell Shank</t>
  </si>
  <si>
    <t>Crash 4 Bow Shank</t>
  </si>
  <si>
    <t>Crash 4 Bell Tip</t>
  </si>
  <si>
    <t>China Bell</t>
  </si>
  <si>
    <t>Spock Bow</t>
  </si>
  <si>
    <t>High Crash - Choke</t>
  </si>
  <si>
    <t>Ride - Choke</t>
  </si>
  <si>
    <t>Low Crash - Choke</t>
  </si>
  <si>
    <t>China - Choke</t>
  </si>
  <si>
    <t>Splash - Choke</t>
  </si>
  <si>
    <t>Cowbell Open</t>
  </si>
  <si>
    <t>Cowbell - Muted</t>
  </si>
  <si>
    <t>Cowbell Open (double)</t>
  </si>
  <si>
    <t>Cowbell - Muted (double)</t>
  </si>
  <si>
    <t>Tambourine - Tap</t>
  </si>
  <si>
    <t>Tambourine - Shake</t>
  </si>
  <si>
    <t>Clap - Solo</t>
  </si>
  <si>
    <t>Clap - Multi</t>
  </si>
  <si>
    <t>Stick - Hit</t>
  </si>
  <si>
    <t>Kick - Dampened</t>
  </si>
  <si>
    <t>Snare - Sidestick</t>
  </si>
  <si>
    <t>Snare - Center L/R</t>
  </si>
  <si>
    <t>Snare - Rimshot</t>
  </si>
  <si>
    <t>Snare - Halfway L/R</t>
  </si>
  <si>
    <t>Tom 4 - Center L/R</t>
  </si>
  <si>
    <t>Closed Hihat - Tip L/R</t>
  </si>
  <si>
    <t>Tom 3 - Center L/R</t>
  </si>
  <si>
    <t>Closed Hihat - Pedal</t>
  </si>
  <si>
    <t>Tom 2 - Center L/R</t>
  </si>
  <si>
    <t>Open Hihat - Control</t>
  </si>
  <si>
    <t>Tom 1 - Center L/R</t>
  </si>
  <si>
    <t>High Crash - Tip</t>
  </si>
  <si>
    <t>High Crash - Edge</t>
  </si>
  <si>
    <t>High Crash - Bell</t>
  </si>
  <si>
    <t>Ride - Tip</t>
  </si>
  <si>
    <t>Ride - Edge</t>
  </si>
  <si>
    <t>Ride - Bell</t>
  </si>
  <si>
    <t>Low Crash - Tip</t>
  </si>
  <si>
    <t>Low Crash - Edge</t>
  </si>
  <si>
    <t>Low Crash - Bell</t>
  </si>
  <si>
    <t>China - Edge</t>
  </si>
  <si>
    <t>China - Tip</t>
  </si>
  <si>
    <t>Splash - Edge</t>
  </si>
  <si>
    <t>Kick - Open</t>
  </si>
  <si>
    <t>Snare - Rim Only</t>
  </si>
  <si>
    <t>Snare - Flam</t>
  </si>
  <si>
    <t>Snare - Roll</t>
  </si>
  <si>
    <t>Tom 4 - Rimshot</t>
  </si>
  <si>
    <t>Closed Hihat - Tight Tip L/R</t>
  </si>
  <si>
    <t>Tom 3 - Rimshot</t>
  </si>
  <si>
    <t>Closed Hihat - Shank L/R</t>
  </si>
  <si>
    <t>Tom 2 - Rimshot</t>
  </si>
  <si>
    <t>Open Hihat - Pedal</t>
  </si>
  <si>
    <t>Tom 1 - Rimshot</t>
  </si>
  <si>
    <t>Tom 4 - Rim Only</t>
  </si>
  <si>
    <t>Tom 3 - Rim Only</t>
  </si>
  <si>
    <t>Tom 2 - Rim Only</t>
  </si>
  <si>
    <t>Tom 1 - Rim Only</t>
  </si>
  <si>
    <t>Open Hihat - 1/4</t>
  </si>
  <si>
    <t>Open Hihat - 1/2</t>
  </si>
  <si>
    <t>Open Hihat - 3/4</t>
  </si>
  <si>
    <t>Open Hihat - Loose</t>
  </si>
  <si>
    <t>Open Hihat - Full</t>
  </si>
  <si>
    <t>Snare - Center L</t>
  </si>
  <si>
    <t>Snare - Center R</t>
  </si>
  <si>
    <t>Snare - Halfway L</t>
  </si>
  <si>
    <t>Closed Hihat - Tight Tip L</t>
  </si>
  <si>
    <t>Snare - Halfway R</t>
  </si>
  <si>
    <t>Closed Hihat - Tight Tip R</t>
  </si>
  <si>
    <t>Tom 4 - Center L</t>
  </si>
  <si>
    <t>Tom 4 - Center R</t>
  </si>
  <si>
    <t>Closed Hihat - Tip L</t>
  </si>
  <si>
    <t>Tom 3 - Center L</t>
  </si>
  <si>
    <t>Closed Hihat - Tip R</t>
  </si>
  <si>
    <t>Tom 3 - Center R</t>
  </si>
  <si>
    <t>Closed Hihat - Shank L</t>
  </si>
  <si>
    <t>Tom 2 - Center L</t>
  </si>
  <si>
    <t>Tom 2 - Center R</t>
  </si>
  <si>
    <t>Closed Hihat - Shank R</t>
  </si>
  <si>
    <t>Tom 1 - Center L</t>
  </si>
  <si>
    <t>Tom 1 - Center R</t>
  </si>
  <si>
    <t>Short Name</t>
    <phoneticPr fontId="1"/>
  </si>
  <si>
    <t>Floortom 1 Alt</t>
  </si>
  <si>
    <t>Floortom 1 Alt</t>
    <phoneticPr fontId="1"/>
  </si>
  <si>
    <t>Floortom 2</t>
  </si>
  <si>
    <t>Floortom 1</t>
  </si>
  <si>
    <t>Racktom 2</t>
  </si>
  <si>
    <t>Racktom 1</t>
  </si>
  <si>
    <t>Snare</t>
  </si>
  <si>
    <t>Snare Alt</t>
  </si>
  <si>
    <t>Snare Alt</t>
    <phoneticPr fontId="1"/>
  </si>
  <si>
    <t>Snare Off Center</t>
    <phoneticPr fontId="1"/>
  </si>
  <si>
    <t>Snare Roll</t>
  </si>
  <si>
    <t>Snare Roll</t>
    <phoneticPr fontId="1"/>
  </si>
  <si>
    <t>+</t>
  </si>
  <si>
    <t>Crash L</t>
  </si>
  <si>
    <t>Crash R</t>
  </si>
  <si>
    <t>Hi-Hat</t>
    <phoneticPr fontId="1"/>
  </si>
  <si>
    <t>Ride</t>
    <phoneticPr fontId="1"/>
  </si>
  <si>
    <t>Racktom</t>
    <phoneticPr fontId="1"/>
  </si>
  <si>
    <t>Floortom</t>
    <phoneticPr fontId="1"/>
  </si>
  <si>
    <t>Cymbal</t>
    <phoneticPr fontId="1"/>
  </si>
  <si>
    <t>Kit ID</t>
    <phoneticPr fontId="1"/>
  </si>
  <si>
    <t>Kit Name</t>
    <phoneticPr fontId="1"/>
  </si>
  <si>
    <t>C2</t>
    <phoneticPr fontId="1"/>
  </si>
  <si>
    <t>C1</t>
    <phoneticPr fontId="1"/>
  </si>
  <si>
    <t>Hat Aperture SHANK</t>
  </si>
  <si>
    <t>Hat Aperture TIP</t>
  </si>
  <si>
    <t>Hat Tight Closed TIP</t>
  </si>
  <si>
    <t>Hat Closed SHANK</t>
  </si>
  <si>
    <t>Hat Extra Open SHANK</t>
  </si>
  <si>
    <t>Hat Foot Open</t>
  </si>
  <si>
    <t>Hat Extra Open TIP</t>
  </si>
  <si>
    <t>Hat Open SHANK</t>
  </si>
  <si>
    <t>Kick 2</t>
  </si>
  <si>
    <t>Kick 1</t>
  </si>
  <si>
    <t>Snare L</t>
  </si>
  <si>
    <t>Floor Tom 2 L (Copy)</t>
  </si>
  <si>
    <t>Hat Closed TIP</t>
  </si>
  <si>
    <t>Floor Tom 2 L</t>
  </si>
  <si>
    <t>Hat Foot Close</t>
  </si>
  <si>
    <t>Floor Tom 1 L</t>
  </si>
  <si>
    <t>Hat Open TIP</t>
  </si>
  <si>
    <t>Tom 3 L</t>
  </si>
  <si>
    <t>Tom 2 L</t>
  </si>
  <si>
    <t>Tom 1 L</t>
  </si>
  <si>
    <t>Ride Cymbal Center</t>
  </si>
  <si>
    <t>Ride Cymbal Bell</t>
  </si>
  <si>
    <t>Bell Cymbal</t>
  </si>
  <si>
    <t>Crash EFX</t>
  </si>
  <si>
    <t>Snare R</t>
  </si>
  <si>
    <t>Floor Tom 2 R (copy)</t>
  </si>
  <si>
    <t>Crash Cumbal 1 (Choke)</t>
  </si>
  <si>
    <t>Floor Tom 2 R</t>
  </si>
  <si>
    <t>Floor Tom 1 R</t>
  </si>
  <si>
    <t>Splash Cymbal (Choke)</t>
  </si>
  <si>
    <t>Tom 3 R</t>
  </si>
  <si>
    <t>Tom 2 R</t>
  </si>
  <si>
    <t>Tom 1 R</t>
  </si>
  <si>
    <t>Crash Cymbal EFX (Choke)</t>
  </si>
  <si>
    <t>C3</t>
    <phoneticPr fontId="1"/>
  </si>
  <si>
    <t>ID</t>
    <phoneticPr fontId="1"/>
  </si>
  <si>
    <t>Snare L</t>
    <phoneticPr fontId="1"/>
  </si>
  <si>
    <t>Snare R</t>
    <phoneticPr fontId="1"/>
  </si>
  <si>
    <t>Snare Rimshot L</t>
    <phoneticPr fontId="1"/>
  </si>
  <si>
    <t>Snare Rimshot R</t>
    <phoneticPr fontId="1"/>
  </si>
  <si>
    <t>Floortom 1 L</t>
  </si>
  <si>
    <t>Floortom 1 L</t>
    <phoneticPr fontId="1"/>
  </si>
  <si>
    <t>Floortom 1 R</t>
  </si>
  <si>
    <t>Floortom 1 R</t>
    <phoneticPr fontId="1"/>
  </si>
  <si>
    <t>Floortom 2 L</t>
  </si>
  <si>
    <t>Floortom 2 L</t>
    <phoneticPr fontId="1"/>
  </si>
  <si>
    <t>Floortom 2 R</t>
  </si>
  <si>
    <t>Floortom 2 R</t>
    <phoneticPr fontId="1"/>
  </si>
  <si>
    <t>Hi-Hat Closed Edge L</t>
  </si>
  <si>
    <t>Hi-Hat Closed Edge L</t>
    <phoneticPr fontId="1"/>
  </si>
  <si>
    <t>Hi-Hat Closed Edge R</t>
  </si>
  <si>
    <t>Hi-Hat Closed Edge R</t>
    <phoneticPr fontId="1"/>
  </si>
  <si>
    <t>Hi-Hat Closed Tip L</t>
  </si>
  <si>
    <t>Hi-Hat Closed Tip L</t>
    <phoneticPr fontId="1"/>
  </si>
  <si>
    <t>Hi-Hat Closed Tip R</t>
  </si>
  <si>
    <t>Hi-Hat Closed Tip R</t>
    <phoneticPr fontId="1"/>
  </si>
  <si>
    <t>Hi-Hat Tight Tip L</t>
  </si>
  <si>
    <t>Hi-Hat Tight Tip L</t>
    <phoneticPr fontId="1"/>
  </si>
  <si>
    <t>Hi-Hat Tight Tip R</t>
  </si>
  <si>
    <t>Hi-Hat Tight Tip R</t>
    <phoneticPr fontId="1"/>
  </si>
  <si>
    <t>Snare - Wires Off</t>
    <phoneticPr fontId="1"/>
  </si>
  <si>
    <t>Snare Wires Off</t>
  </si>
  <si>
    <t>Snare Wires Off</t>
    <phoneticPr fontId="1"/>
  </si>
  <si>
    <t>Snare Off Center L</t>
  </si>
  <si>
    <t>Snare Off Center L</t>
    <phoneticPr fontId="1"/>
  </si>
  <si>
    <t>Snare Off Center R</t>
  </si>
  <si>
    <t>Snare Off Center R</t>
    <phoneticPr fontId="1"/>
  </si>
  <si>
    <t>Snare Shallow RimShot</t>
    <phoneticPr fontId="1"/>
  </si>
  <si>
    <t>Snare Rimshot Shallow</t>
    <phoneticPr fontId="1"/>
  </si>
  <si>
    <t>Brush Closed Soft Tap</t>
  </si>
  <si>
    <t>Brush Brush Short 1</t>
  </si>
  <si>
    <t>Brush Short 2</t>
  </si>
  <si>
    <t>Brush No Accent</t>
  </si>
  <si>
    <t>Brush Fast Bright Acc</t>
  </si>
  <si>
    <t>Brush Slow Bright Acc</t>
  </si>
  <si>
    <t>Brush Fast Dark Acc</t>
  </si>
  <si>
    <t>Brush Slow Dark Acc</t>
  </si>
  <si>
    <t>Brush Mute</t>
  </si>
  <si>
    <t>Brush Backward Swirl</t>
  </si>
  <si>
    <t>Brush Forward Swirl</t>
  </si>
  <si>
    <t>Brush Drag</t>
  </si>
  <si>
    <t>Brush Short Drag</t>
  </si>
  <si>
    <t>Brush Half Circle</t>
  </si>
  <si>
    <t>Brush Full Circle</t>
  </si>
  <si>
    <t>-</t>
  </si>
  <si>
    <t>Alias
*:Duplicate
+:Unload
-:Sepalate</t>
    <phoneticPr fontId="1"/>
  </si>
  <si>
    <t>Brush Muted</t>
  </si>
  <si>
    <t>Brush Muted Accent</t>
  </si>
  <si>
    <t>Stick</t>
  </si>
  <si>
    <t>Backward Brush Trigger</t>
  </si>
  <si>
    <t>Forward Brush Trigger</t>
  </si>
  <si>
    <t>標準</t>
    <rPh sb="0" eb="2">
      <t>ヒョウジュン</t>
    </rPh>
    <phoneticPr fontId="1"/>
  </si>
  <si>
    <t>nhdX</t>
    <phoneticPr fontId="1"/>
  </si>
  <si>
    <t>nhTr</t>
    <phoneticPr fontId="1"/>
  </si>
  <si>
    <t>nhSl</t>
    <phoneticPr fontId="1"/>
  </si>
  <si>
    <t>nhCX</t>
    <phoneticPr fontId="1"/>
  </si>
  <si>
    <t>nhDi</t>
    <phoneticPr fontId="1"/>
  </si>
  <si>
    <t>×記号</t>
    <rPh sb="1" eb="3">
      <t>キゴウ</t>
    </rPh>
    <phoneticPr fontId="1"/>
  </si>
  <si>
    <t>三角</t>
    <rPh sb="0" eb="2">
      <t>サンカク</t>
    </rPh>
    <phoneticPr fontId="1"/>
  </si>
  <si>
    <t>スラッシュ</t>
    <phoneticPr fontId="1"/>
  </si>
  <si>
    <t>〇に×</t>
    <phoneticPr fontId="1"/>
  </si>
  <si>
    <t>ひし形</t>
    <rPh sb="2" eb="3">
      <t>ガタ</t>
    </rPh>
    <phoneticPr fontId="1"/>
  </si>
  <si>
    <t>なし</t>
    <phoneticPr fontId="1"/>
  </si>
  <si>
    <t>開く</t>
    <rPh sb="0" eb="1">
      <t>ヒラ</t>
    </rPh>
    <phoneticPr fontId="1"/>
  </si>
  <si>
    <t>ハーブオープン</t>
    <phoneticPr fontId="1"/>
  </si>
  <si>
    <t>クローズ</t>
    <phoneticPr fontId="1"/>
  </si>
  <si>
    <t>ロール１</t>
    <phoneticPr fontId="1"/>
  </si>
  <si>
    <t>ロール２</t>
  </si>
  <si>
    <t>ロール３</t>
  </si>
  <si>
    <t>シンバルチョーク</t>
    <phoneticPr fontId="1"/>
  </si>
  <si>
    <t>ccir</t>
    <phoneticPr fontId="1"/>
  </si>
  <si>
    <t>plus</t>
    <phoneticPr fontId="1"/>
  </si>
  <si>
    <t>trm1</t>
    <phoneticPr fontId="1"/>
  </si>
  <si>
    <t>trm2</t>
    <phoneticPr fontId="1"/>
  </si>
  <si>
    <t>trm3</t>
    <phoneticPr fontId="1"/>
  </si>
  <si>
    <t>stac</t>
    <phoneticPr fontId="1"/>
  </si>
  <si>
    <t>circ</t>
    <phoneticPr fontId="1"/>
  </si>
  <si>
    <t>Dup</t>
    <phoneticPr fontId="1"/>
  </si>
  <si>
    <t>Hihat.Foot</t>
  </si>
  <si>
    <t>Hihat.Shank Clsd</t>
  </si>
  <si>
    <t>Hihat.Pedal</t>
  </si>
  <si>
    <t>Hihat.Shank Open</t>
  </si>
  <si>
    <t>Sidestick</t>
  </si>
  <si>
    <t>Claps</t>
  </si>
  <si>
    <t>Rim</t>
  </si>
  <si>
    <t>Tom E</t>
  </si>
  <si>
    <t>Hihat.Tip Closed</t>
  </si>
  <si>
    <t>Tom D</t>
  </si>
  <si>
    <t>Tom C</t>
  </si>
  <si>
    <t>Hihat.Tip Open</t>
  </si>
  <si>
    <t>Tom B</t>
  </si>
  <si>
    <t>Tom A</t>
  </si>
  <si>
    <t>Crash A</t>
  </si>
  <si>
    <t>Ride.Bow</t>
  </si>
  <si>
    <t>Ride.Bell</t>
  </si>
  <si>
    <t>Cowbell.Shoulder</t>
  </si>
  <si>
    <t>Crash B</t>
  </si>
  <si>
    <t>Cowbell.Tip</t>
  </si>
  <si>
    <t>Ride.Edge</t>
  </si>
  <si>
    <t>Hihat.Shank Op1</t>
  </si>
  <si>
    <t>Hihat.Shank Op2</t>
  </si>
  <si>
    <t>Hihat.Shank Op3</t>
  </si>
  <si>
    <t>Hihat.Shank Op4</t>
  </si>
  <si>
    <t>Hihat.Shank Op5</t>
  </si>
  <si>
    <t>Hihat.Tip Op1</t>
  </si>
  <si>
    <t>Hihat.Tip Op2</t>
  </si>
  <si>
    <t>Hihat.Tip Op3</t>
  </si>
  <si>
    <t>Hihat.Tip Op4</t>
  </si>
  <si>
    <t>Hihat.Tip Op5</t>
  </si>
  <si>
    <t>Hihat Tip</t>
  </si>
  <si>
    <t>Hi-Hat</t>
  </si>
  <si>
    <t>Ride</t>
  </si>
  <si>
    <t>Racktom</t>
  </si>
  <si>
    <t>Floortom</t>
  </si>
  <si>
    <t>Cymbal</t>
  </si>
  <si>
    <t>Hi-Hat Pedal</t>
  </si>
  <si>
    <t>Ride 1</t>
  </si>
  <si>
    <t>Ride 2</t>
  </si>
  <si>
    <t>Floor 16 TOM - RimClick</t>
  </si>
  <si>
    <t>Low 14 TOM - RimClick</t>
  </si>
  <si>
    <t>MID 12 TOM - RimClick</t>
  </si>
  <si>
    <t>HIGH 10 TOM - RimClick</t>
  </si>
  <si>
    <t>SNARE - Rolls 2</t>
  </si>
  <si>
    <t>SNARE - Rolls 1</t>
  </si>
  <si>
    <t>HI HAT - Shank Closed</t>
  </si>
  <si>
    <t>HAT - CC Note On</t>
  </si>
  <si>
    <t>CHINA - Edge</t>
  </si>
  <si>
    <t>CHINA - Choke</t>
  </si>
  <si>
    <t>SNARE - Rimshot Edge</t>
  </si>
  <si>
    <t>SNARE - Side</t>
  </si>
  <si>
    <t>KICK Double</t>
  </si>
  <si>
    <t>KICK</t>
  </si>
  <si>
    <t>SNARE - Sidestick</t>
  </si>
  <si>
    <t>SNARE - Center</t>
  </si>
  <si>
    <t>SNARE - Rimclick</t>
  </si>
  <si>
    <t>SNARE - Rimshot</t>
  </si>
  <si>
    <t>TOM - Floor</t>
  </si>
  <si>
    <t>HI HAT - Tip Closed</t>
  </si>
  <si>
    <t>TOM - Low</t>
  </si>
  <si>
    <t>HI HAT - Pedal</t>
  </si>
  <si>
    <t>HI HAT - Open</t>
  </si>
  <si>
    <t>TOM - Mid</t>
  </si>
  <si>
    <t>TOM - High</t>
  </si>
  <si>
    <t>SPLASH - Choke</t>
  </si>
  <si>
    <t>SPLASH - Edge</t>
  </si>
  <si>
    <t>RIDE - Tip</t>
  </si>
  <si>
    <t>RIDE - Shank</t>
  </si>
  <si>
    <t>RIDE - Bell</t>
  </si>
  <si>
    <t>CRASH L - Choke</t>
  </si>
  <si>
    <t>CRASH L - Edge</t>
  </si>
  <si>
    <t>CRASH R - Choke</t>
  </si>
  <si>
    <t>CRASH R - Edge</t>
  </si>
  <si>
    <t>RIDE - Choke</t>
  </si>
  <si>
    <t>RIDE - Edge</t>
  </si>
  <si>
    <t>HI HAT - Shank 1/5 Open</t>
  </si>
  <si>
    <t>HI HAT - Shank 2/5 Open</t>
  </si>
  <si>
    <t>HI HAT - Shank 3/5 Open</t>
  </si>
  <si>
    <t>HI HAT - Shank 4/5 Open</t>
  </si>
  <si>
    <t>HI HAT - Shank Open</t>
  </si>
  <si>
    <t>HI HAT - Tip 1/5 Open</t>
  </si>
  <si>
    <t>HI HAT - Tip 2/5 Open</t>
  </si>
  <si>
    <t>HI HAT - Tip 3/5 Open</t>
  </si>
  <si>
    <t>HI HAT - Tip 4/5 Open</t>
  </si>
  <si>
    <t>HI HAT - Tip Open</t>
  </si>
  <si>
    <t>HI HAT - Footsplash</t>
  </si>
  <si>
    <t>COWBELL - Shank</t>
  </si>
  <si>
    <t>COWBELL - Tip</t>
  </si>
  <si>
    <t>CLAP</t>
  </si>
  <si>
    <t>TAMB - Up</t>
  </si>
  <si>
    <t>TAMB - Down</t>
  </si>
  <si>
    <t>TAMB - Hand</t>
  </si>
  <si>
    <t>SPLASH L - Bow</t>
  </si>
  <si>
    <t>CRASH L - Bow</t>
  </si>
  <si>
    <t>CRASH R - Bow</t>
  </si>
  <si>
    <t>CHINA R - Bow</t>
  </si>
  <si>
    <t>Hi-Hat Pedal Splash</t>
  </si>
  <si>
    <t>Hi-Hat Pedal Splash</t>
    <phoneticPr fontId="1"/>
  </si>
  <si>
    <t>Snare Roll 2</t>
  </si>
  <si>
    <t>Snare Roll 2</t>
    <phoneticPr fontId="1"/>
  </si>
  <si>
    <t>(Kick)</t>
  </si>
  <si>
    <t>SIDE-STICK</t>
  </si>
  <si>
    <t>SNARE</t>
  </si>
  <si>
    <t>(Snare)</t>
  </si>
  <si>
    <t>TOM LOW</t>
  </si>
  <si>
    <t>HI-HAT CLOSED</t>
  </si>
  <si>
    <t>(Tom Low)</t>
  </si>
  <si>
    <t>HI-HAT HALF OPEN</t>
  </si>
  <si>
    <t>TOM MID</t>
  </si>
  <si>
    <t>HI-HAT OPEN</t>
  </si>
  <si>
    <t>(Tom Mid)</t>
  </si>
  <si>
    <t>TOM HI</t>
  </si>
  <si>
    <t>CRASH L</t>
  </si>
  <si>
    <t>(Tom Hi)</t>
  </si>
  <si>
    <t>RIDE</t>
  </si>
  <si>
    <t>RIDE BELL</t>
  </si>
  <si>
    <t>CRASH R (main Crash)</t>
  </si>
  <si>
    <t>CRASH R CHOKED</t>
  </si>
  <si>
    <t>(Hi-Hat Closed)</t>
  </si>
  <si>
    <t>CHOKE ALL CYMBALS</t>
  </si>
  <si>
    <t>Custom 1</t>
  </si>
  <si>
    <t>Custom 2</t>
  </si>
  <si>
    <t>Custom 3</t>
  </si>
  <si>
    <t>Custom 4</t>
  </si>
  <si>
    <t>Custom 5</t>
  </si>
  <si>
    <t>Snare: Zone Trigger</t>
  </si>
  <si>
    <t>Hi-Hat: Edge Trigger</t>
  </si>
  <si>
    <t>Hi-Hat: Tip Trigger</t>
  </si>
  <si>
    <t>Hi-Hat: Bell Trigger</t>
  </si>
  <si>
    <t>Hi-Hat: Closed Pedal</t>
  </si>
  <si>
    <t>Hi-Hat: Closed Tip</t>
  </si>
  <si>
    <t>Hi-Hat: Open Tip 0</t>
  </si>
  <si>
    <t>Hi-Hat: Open Tip 1</t>
  </si>
  <si>
    <t>Hi-Hat: Open Tip 2</t>
  </si>
  <si>
    <t>Hi-Hat: Open Tip 3</t>
  </si>
  <si>
    <t>Hi-Hat: Open Tip 4</t>
  </si>
  <si>
    <t>Hi-Hat: Open Tip 5</t>
  </si>
  <si>
    <t>Hi-Hat: Closed Edge</t>
  </si>
  <si>
    <t>Hi-Hat: Open Pedal</t>
  </si>
  <si>
    <t>Hi-Hat: Open Edge 1</t>
  </si>
  <si>
    <t>Hi-Hat: Open Edge 2</t>
  </si>
  <si>
    <t>Hi-Hat: Open Edge 3</t>
  </si>
  <si>
    <t>Crash 1: Bow Tip</t>
  </si>
  <si>
    <t>Crash 1: Bell Shank</t>
  </si>
  <si>
    <t>Ride: Bow Tip 2</t>
  </si>
  <si>
    <t>Ride: Bell Tip</t>
  </si>
  <si>
    <t>Crash 2: Bow Tip</t>
  </si>
  <si>
    <t>Crash 2: Bell Shank</t>
  </si>
  <si>
    <t>Snare: Edge</t>
  </si>
  <si>
    <t>Kick: Hit</t>
  </si>
  <si>
    <t>Kick: Open</t>
  </si>
  <si>
    <t>Snare: Sidestick</t>
  </si>
  <si>
    <t>Snare: Center</t>
  </si>
  <si>
    <t>Snare: Closed Roll</t>
  </si>
  <si>
    <t>Snare: Rimshot</t>
  </si>
  <si>
    <t>Floortom 2: Center</t>
  </si>
  <si>
    <t>Floortom 1: Center</t>
  </si>
  <si>
    <t>Crash 1: Crash</t>
  </si>
  <si>
    <t>Crash 1: Muted Hit</t>
  </si>
  <si>
    <t>Ride: Bow Tip 1</t>
  </si>
  <si>
    <t>China 2: Crash</t>
  </si>
  <si>
    <t>Ride: Bell Shank</t>
  </si>
  <si>
    <t>China 2: Muted Hit</t>
  </si>
  <si>
    <t>Splash 1: Crash</t>
  </si>
  <si>
    <t>Splash 1: Muted Hit</t>
  </si>
  <si>
    <t>Crash 2: Crash</t>
  </si>
  <si>
    <t>Crash 2: Mute Hit</t>
  </si>
  <si>
    <t>Ride: Edge</t>
  </si>
  <si>
    <t>Hi-Hat: Open Edge 4</t>
  </si>
  <si>
    <t>Hi-Hat: Tight Edge</t>
  </si>
  <si>
    <t>Hi-Hat: Tight Tip</t>
  </si>
  <si>
    <t>Hi-Hat: Open Edge 0</t>
  </si>
  <si>
    <t>Floortom 2: Rim Only</t>
  </si>
  <si>
    <t>Floortom 2: Rimshot</t>
  </si>
  <si>
    <t>Floortom 1: Rim Only</t>
  </si>
  <si>
    <t>Floortom 1: Rimshot</t>
  </si>
  <si>
    <t>Snare: Rim Only</t>
  </si>
  <si>
    <t>China 1: Muted Hit</t>
  </si>
  <si>
    <t>China 1: Bow Tip</t>
  </si>
  <si>
    <t>China 2: Bow Tip</t>
  </si>
  <si>
    <t>China 1: Crash</t>
  </si>
  <si>
    <t>Crash 1: Bow Shank</t>
  </si>
  <si>
    <t>Crash 1: Bell Tip</t>
  </si>
  <si>
    <t>Splash 2: Crash</t>
  </si>
  <si>
    <t>Splash 2: Muted Hit</t>
  </si>
  <si>
    <t>Splash 3: Muted Hit</t>
  </si>
  <si>
    <t>Splash 3: Crash</t>
  </si>
  <si>
    <t>Crash 2: Bow Shank</t>
  </si>
  <si>
    <t>Crash 2: Bell Tip</t>
  </si>
  <si>
    <t>Crash 3: Muted Hit</t>
  </si>
  <si>
    <t>Crash 3: Bow Tip</t>
  </si>
  <si>
    <t>Crash 3: Bell Shank</t>
  </si>
  <si>
    <t>Crash 3: Crash</t>
  </si>
  <si>
    <t>Crash 3: Bow Shank</t>
  </si>
  <si>
    <t>Crash 3: Bell Tip</t>
  </si>
  <si>
    <t>Ride: Bow Shank</t>
  </si>
  <si>
    <t>Ride: Mute Hit</t>
  </si>
  <si>
    <t>Hi-Hat: Closed Bell</t>
  </si>
  <si>
    <t>Hi-Hat: Open Bell 0</t>
  </si>
  <si>
    <t>Hi-Hat: Open Bell 1</t>
  </si>
  <si>
    <t>Hi-Hat: Open Bell 2</t>
  </si>
  <si>
    <t>Hi-Hat: Open Bell 3</t>
  </si>
  <si>
    <t>Hi-Hat: Open Bell 4</t>
  </si>
  <si>
    <t>Snare: Off Center</t>
  </si>
  <si>
    <t>Hightom</t>
  </si>
  <si>
    <t>Hightom</t>
    <phoneticPr fontId="1"/>
  </si>
  <si>
    <t>Splash 1</t>
  </si>
  <si>
    <t>China 1</t>
  </si>
  <si>
    <t>Splash 2</t>
  </si>
  <si>
    <t>Splash 3</t>
  </si>
  <si>
    <t>China 2</t>
  </si>
  <si>
    <t>China 3</t>
  </si>
  <si>
    <t>Splash 1 Bow Tip</t>
  </si>
  <si>
    <t>Splash 1 Bow Shank</t>
  </si>
  <si>
    <t>Splash 1 Bell Tip</t>
  </si>
  <si>
    <t>Splash 1 Bell Shank</t>
  </si>
  <si>
    <t>Splash 1 Choke</t>
  </si>
  <si>
    <t>China 1 Bow Tip</t>
  </si>
  <si>
    <t>China 1 Bow Shank</t>
  </si>
  <si>
    <t>China 1 Bell Tip</t>
  </si>
  <si>
    <t>China 1 Bell Shank</t>
  </si>
  <si>
    <t>China 1 Choke</t>
  </si>
  <si>
    <t>Splash 2</t>
    <phoneticPr fontId="1"/>
  </si>
  <si>
    <t>Splash 2 Choke</t>
  </si>
  <si>
    <t>Splash 2 Choke</t>
    <phoneticPr fontId="1"/>
  </si>
  <si>
    <t>Splash 3</t>
    <phoneticPr fontId="1"/>
  </si>
  <si>
    <t>Splash 3 Choke</t>
  </si>
  <si>
    <t>Splash 3 Choke</t>
    <phoneticPr fontId="1"/>
  </si>
  <si>
    <t>China 2</t>
    <phoneticPr fontId="1"/>
  </si>
  <si>
    <t>China 2 Choke</t>
  </si>
  <si>
    <t>China 2 Choke</t>
    <phoneticPr fontId="1"/>
  </si>
  <si>
    <t>Gongdrum</t>
  </si>
  <si>
    <t>Gongdrum</t>
    <phoneticPr fontId="1"/>
  </si>
  <si>
    <t>China 2 Bow Tip</t>
  </si>
  <si>
    <t>China 2 Bow Tip</t>
    <phoneticPr fontId="1"/>
  </si>
  <si>
    <t>Spock</t>
  </si>
  <si>
    <t>Spock</t>
    <phoneticPr fontId="1"/>
  </si>
  <si>
    <t>Spock Bow</t>
    <phoneticPr fontId="1"/>
  </si>
  <si>
    <t>Spock Choke</t>
    <phoneticPr fontId="1"/>
  </si>
  <si>
    <t>Crash 1</t>
  </si>
  <si>
    <t>Crash Crash 1</t>
  </si>
  <si>
    <t>Ride Crash 1</t>
  </si>
  <si>
    <t>Crash 1 [dbl]</t>
  </si>
  <si>
    <t>China Crash 1</t>
  </si>
  <si>
    <t>Crash 1 Mute</t>
  </si>
  <si>
    <t>Crash 1 Mute Hit</t>
  </si>
  <si>
    <t>Crash 2</t>
  </si>
  <si>
    <t>Crash Crash 2</t>
  </si>
  <si>
    <t>Ride Crash 2</t>
  </si>
  <si>
    <t>China Crash 2</t>
  </si>
  <si>
    <t>Crash 2 Mute</t>
  </si>
  <si>
    <t>Crash 2 Mute Hit</t>
  </si>
  <si>
    <t>Crash 3</t>
  </si>
  <si>
    <t>Crash 3 Choke</t>
  </si>
  <si>
    <t>Crash 3 Edge</t>
  </si>
  <si>
    <t>Crash 3 Bell</t>
  </si>
  <si>
    <t>Crash 3 Hit</t>
  </si>
  <si>
    <t>Crash Crash 3</t>
  </si>
  <si>
    <t>Crash Crash 3 Choke)</t>
  </si>
  <si>
    <t>Crash 3 Mute</t>
  </si>
  <si>
    <t>Crash 3 Mute Hit</t>
  </si>
  <si>
    <t>Crash 4</t>
  </si>
  <si>
    <t>Crash 4 Choke</t>
  </si>
  <si>
    <t>Crash Crash 4</t>
  </si>
  <si>
    <t>Crash Crash 4 (Choke)</t>
  </si>
  <si>
    <t>Crash 4 Mute</t>
  </si>
  <si>
    <t>Crash 4 Mute Hit</t>
  </si>
  <si>
    <t>Crash 5</t>
  </si>
  <si>
    <t>Crash 5 Choke</t>
  </si>
  <si>
    <t>Crash 5 Mute</t>
  </si>
  <si>
    <t>Crash 5 Mute Hit</t>
  </si>
  <si>
    <t>Crash 5 Bow Tip</t>
  </si>
  <si>
    <t>Crash 5 Bell Shank</t>
  </si>
  <si>
    <t>Crash 5 Bow Shank</t>
  </si>
  <si>
    <t>Crash 5 Bell Tip</t>
  </si>
  <si>
    <t>Crash 6</t>
  </si>
  <si>
    <t>Crash 6 Choke</t>
  </si>
  <si>
    <t>Crash 6 Mute</t>
  </si>
  <si>
    <t>Spock Choke</t>
  </si>
  <si>
    <t>Gongdrum: Center</t>
  </si>
  <si>
    <t>Hightom 4: Center</t>
  </si>
  <si>
    <t>Hightom 3: Center</t>
  </si>
  <si>
    <t>Hightom 2: Center</t>
  </si>
  <si>
    <t>Hightom 1: Center</t>
  </si>
  <si>
    <t>Hightom 2: Rimshot</t>
  </si>
  <si>
    <t>Hightom 1: Rimshot</t>
  </si>
  <si>
    <t>Hightom 4: Rimshot</t>
  </si>
  <si>
    <t>Hightom 3: Rimshot</t>
  </si>
  <si>
    <t>Hightom 1</t>
  </si>
  <si>
    <t>Hightom 1 Rimshot</t>
  </si>
  <si>
    <t>Hightom 1: Rim Only</t>
  </si>
  <si>
    <t>Hightom 2</t>
  </si>
  <si>
    <t>Hightom 2 Rimshot</t>
  </si>
  <si>
    <t>Hightom 2: Rim Only</t>
  </si>
  <si>
    <t>Hightom 3</t>
  </si>
  <si>
    <t>Hightom 3 Rimshot</t>
  </si>
  <si>
    <t>Hightom 4</t>
  </si>
  <si>
    <t>Hightom 4 Rimshot</t>
  </si>
  <si>
    <t>Racktom 1 L</t>
  </si>
  <si>
    <t>Racktom 1 R</t>
  </si>
  <si>
    <t>Racktom 1 Rim Only</t>
  </si>
  <si>
    <t>Racktom 1 Mute</t>
  </si>
  <si>
    <t>Racktom 1 Center</t>
  </si>
  <si>
    <t>Racktom 2 L</t>
  </si>
  <si>
    <t>Racktom 2 R</t>
  </si>
  <si>
    <t>Racktom 2 Rim Only</t>
  </si>
  <si>
    <t>Racktom 2 Mute</t>
  </si>
  <si>
    <t>Racktom 2 Center</t>
  </si>
  <si>
    <t>Racktom 2 Center Alt</t>
  </si>
  <si>
    <t>Racktom 3 L</t>
  </si>
  <si>
    <t>Racktom 3 R</t>
  </si>
  <si>
    <t>Racktom 3 Rim Only</t>
  </si>
  <si>
    <t>Racktom 3 Center</t>
  </si>
  <si>
    <t>Racktom 4 Rim Only</t>
  </si>
  <si>
    <t>Complement</t>
    <phoneticPr fontId="1"/>
  </si>
  <si>
    <t>Bell</t>
  </si>
  <si>
    <t>Bell</t>
    <phoneticPr fontId="1"/>
  </si>
  <si>
    <t>*</t>
    <phoneticPr fontId="1"/>
  </si>
  <si>
    <t>Crash 2 Choke</t>
    <phoneticPr fontId="1"/>
  </si>
  <si>
    <t>Open</t>
  </si>
  <si>
    <t>Hit</t>
  </si>
  <si>
    <t>Alt</t>
  </si>
  <si>
    <t>L</t>
  </si>
  <si>
    <t>R</t>
  </si>
  <si>
    <t>Flam</t>
  </si>
  <si>
    <t>Roll</t>
  </si>
  <si>
    <t>Roll 2</t>
  </si>
  <si>
    <t>Edge</t>
  </si>
  <si>
    <t>Rimshot</t>
  </si>
  <si>
    <t>L</t>
    <phoneticPr fontId="1"/>
  </si>
  <si>
    <t>R</t>
    <phoneticPr fontId="1"/>
  </si>
  <si>
    <t>Off Center</t>
  </si>
  <si>
    <t>Off Center L</t>
  </si>
  <si>
    <t>Off Center R</t>
  </si>
  <si>
    <t>Bow</t>
  </si>
  <si>
    <t>Choke</t>
  </si>
  <si>
    <t>Mute</t>
  </si>
  <si>
    <t>Wires Off</t>
  </si>
  <si>
    <t>Rim Only</t>
  </si>
  <si>
    <t>Pedal Closed</t>
  </si>
  <si>
    <t>Pedal Open</t>
  </si>
  <si>
    <t>Pedal Splash</t>
  </si>
  <si>
    <t>Closed Edge</t>
  </si>
  <si>
    <t>Closed Edge L</t>
  </si>
  <si>
    <t>Closed Edge R</t>
  </si>
  <si>
    <t>Tight Edge</t>
  </si>
  <si>
    <t>Closed Tip</t>
  </si>
  <si>
    <t>Closed Tip L</t>
  </si>
  <si>
    <t>Closed Tip R</t>
  </si>
  <si>
    <t>Tight Tip</t>
  </si>
  <si>
    <t>Tight Tip L</t>
  </si>
  <si>
    <t>Tight Tip R</t>
  </si>
  <si>
    <t>Closed Bell</t>
  </si>
  <si>
    <t>Sequenced Hit</t>
  </si>
  <si>
    <t>Bow Tip 1</t>
  </si>
  <si>
    <t>Bow Tip 2</t>
  </si>
  <si>
    <t>Bow Shank</t>
  </si>
  <si>
    <t>Bell Tip</t>
  </si>
  <si>
    <t>Bell Shank</t>
  </si>
  <si>
    <t>Bow Tip</t>
  </si>
  <si>
    <t>L Bow Tip</t>
  </si>
  <si>
    <t>L Bow Shank</t>
  </si>
  <si>
    <t>L Bell Tip</t>
  </si>
  <si>
    <t>L Bell Shank</t>
  </si>
  <si>
    <t>L Choke</t>
  </si>
  <si>
    <t>R Bow Tip</t>
  </si>
  <si>
    <t>R Bow Shank</t>
  </si>
  <si>
    <t>R Bell Tip</t>
  </si>
  <si>
    <t>R Bell Shank</t>
  </si>
  <si>
    <t>R Choke</t>
  </si>
  <si>
    <t>Hi-Hat Pedal Colsed</t>
  </si>
  <si>
    <t>Sticks</t>
    <phoneticPr fontId="1"/>
  </si>
  <si>
    <t>Shallow</t>
    <phoneticPr fontId="1"/>
  </si>
  <si>
    <t>Snare Rim</t>
  </si>
  <si>
    <t>Snare Rim Shallow</t>
  </si>
  <si>
    <t>Snare Rim [dbl]</t>
  </si>
  <si>
    <t>Shot</t>
    <phoneticPr fontId="1"/>
  </si>
  <si>
    <t>Only</t>
    <phoneticPr fontId="1"/>
  </si>
  <si>
    <t>Snare Rim</t>
    <phoneticPr fontId="1"/>
  </si>
  <si>
    <t>Snare Rimshot</t>
  </si>
  <si>
    <t>Snare Rimshot L</t>
  </si>
  <si>
    <t>Snare Rimshot R</t>
  </si>
  <si>
    <t>Channel</t>
    <phoneticPr fontId="1"/>
  </si>
  <si>
    <t>Hi-Hat Open Edge</t>
  </si>
  <si>
    <t>Hi-Hat Open Edge</t>
    <phoneticPr fontId="1"/>
  </si>
  <si>
    <t>Hi-Hat Open Tip</t>
  </si>
  <si>
    <t>Hi-Hat Open Tip</t>
    <phoneticPr fontId="1"/>
  </si>
  <si>
    <t>Hi-Hat Open Bell</t>
  </si>
  <si>
    <t>Hi-Hat Open Bell</t>
    <phoneticPr fontId="1"/>
  </si>
  <si>
    <t>Snare Rimshot Shallow</t>
  </si>
  <si>
    <t>ID</t>
  </si>
  <si>
    <t>Sub</t>
  </si>
  <si>
    <t>Name</t>
  </si>
  <si>
    <t>Pitchs</t>
  </si>
  <si>
    <t>Oder</t>
  </si>
  <si>
    <t>InPitch</t>
  </si>
  <si>
    <t>PitchName</t>
  </si>
  <si>
    <t>ArticName</t>
  </si>
  <si>
    <t>ShortName</t>
  </si>
  <si>
    <t>Alias</t>
  </si>
  <si>
    <t>Color</t>
  </si>
  <si>
    <t>ScorePitch</t>
  </si>
  <si>
    <t>NoteHead</t>
  </si>
  <si>
    <t>Techniq</t>
  </si>
  <si>
    <t>HeadSymbol</t>
  </si>
  <si>
    <t>Hi-Hat Closed Edge</t>
    <phoneticPr fontId="1"/>
  </si>
  <si>
    <t>Kick Open</t>
    <phoneticPr fontId="1"/>
  </si>
  <si>
    <t>Pitch</t>
    <phoneticPr fontId="1"/>
  </si>
  <si>
    <t>Note</t>
    <phoneticPr fontId="1"/>
  </si>
  <si>
    <t>Shot</t>
  </si>
  <si>
    <t>Shallow</t>
  </si>
  <si>
    <t>Snare Shallow RimShot</t>
  </si>
  <si>
    <t>Snare Rim Only</t>
    <phoneticPr fontId="1"/>
  </si>
  <si>
    <t>Only</t>
  </si>
  <si>
    <t>Ride 1 Bow Tip 1</t>
    <phoneticPr fontId="1"/>
  </si>
  <si>
    <t>Hi-Hat Pedal Colsed</t>
    <phoneticPr fontId="1"/>
  </si>
  <si>
    <t>Hi-Hat Tight Tip</t>
    <phoneticPr fontId="1"/>
  </si>
  <si>
    <t>Hi-Hat Tight Edge</t>
    <phoneticPr fontId="1"/>
  </si>
  <si>
    <t>Hi-Hat Closed Tip</t>
    <phoneticPr fontId="1"/>
  </si>
  <si>
    <t>Hi-Hat Closed Bell</t>
    <phoneticPr fontId="1"/>
  </si>
  <si>
    <t>Hi-Hat Open Edge 1</t>
    <phoneticPr fontId="1"/>
  </si>
  <si>
    <t>Hi-Hat Open Edge 2</t>
    <phoneticPr fontId="1"/>
  </si>
  <si>
    <t>Hi-Hat Open Edge 3</t>
    <phoneticPr fontId="1"/>
  </si>
  <si>
    <t>Hi-Hat Open Edge 4</t>
    <phoneticPr fontId="1"/>
  </si>
  <si>
    <t>Hi-Hat Open Bell 2</t>
    <phoneticPr fontId="1"/>
  </si>
  <si>
    <t>Ride 1 Bell Tip</t>
    <phoneticPr fontId="1"/>
  </si>
  <si>
    <t>Ride 1 Bow Shank</t>
    <phoneticPr fontId="1"/>
  </si>
  <si>
    <t>Ride 1 Choke</t>
    <phoneticPr fontId="1"/>
  </si>
  <si>
    <t>Floortom 2 Rimshot</t>
    <phoneticPr fontId="1"/>
  </si>
  <si>
    <t>Floortom 1 Rimshot</t>
    <phoneticPr fontId="1"/>
  </si>
  <si>
    <t>Racktom 2</t>
    <phoneticPr fontId="1"/>
  </si>
  <si>
    <t>Racktom 2 Rimshot</t>
    <phoneticPr fontId="1"/>
  </si>
  <si>
    <t>Racktom 1</t>
    <phoneticPr fontId="1"/>
  </si>
  <si>
    <t>Racktom 1 Rimshot</t>
    <phoneticPr fontId="1"/>
  </si>
  <si>
    <t>Crash L Choke</t>
    <phoneticPr fontId="1"/>
  </si>
  <si>
    <t>Crash R Choke</t>
    <phoneticPr fontId="1"/>
  </si>
  <si>
    <t>China 1</t>
    <phoneticPr fontId="1"/>
  </si>
  <si>
    <t>China 1 Choke</t>
    <phoneticPr fontId="1"/>
  </si>
  <si>
    <t>Ride 2 Bow Tip</t>
    <phoneticPr fontId="1"/>
  </si>
  <si>
    <t>Ride 2 Bell Tip</t>
    <phoneticPr fontId="1"/>
  </si>
  <si>
    <t>Ride 2 Bow Shank</t>
    <phoneticPr fontId="1"/>
  </si>
  <si>
    <t>Ride 2 Choke</t>
    <phoneticPr fontId="1"/>
  </si>
  <si>
    <t>Crash 2</t>
    <phoneticPr fontId="1"/>
  </si>
  <si>
    <t>Crash 3</t>
    <phoneticPr fontId="1"/>
  </si>
  <si>
    <t>Crash 3 Choke</t>
    <phoneticPr fontId="1"/>
  </si>
  <si>
    <t>Splash 1</t>
    <phoneticPr fontId="1"/>
  </si>
  <si>
    <t>Splash 1 Choke</t>
    <phoneticPr fontId="1"/>
  </si>
  <si>
    <t>36|39</t>
    <phoneticPr fontId="1"/>
  </si>
  <si>
    <t>38|40</t>
    <phoneticPr fontId="1"/>
  </si>
  <si>
    <t>60|45</t>
    <phoneticPr fontId="1"/>
  </si>
  <si>
    <t>77|46</t>
    <phoneticPr fontId="1"/>
  </si>
  <si>
    <t>Kick|Open</t>
    <phoneticPr fontId="1"/>
  </si>
  <si>
    <t>Kick|Hit</t>
    <phoneticPr fontId="1"/>
  </si>
  <si>
    <t>Gongdrum|</t>
    <phoneticPr fontId="1"/>
  </si>
  <si>
    <t>Snare|</t>
    <phoneticPr fontId="1"/>
  </si>
  <si>
    <t>Snare|Alt</t>
    <phoneticPr fontId="1"/>
  </si>
  <si>
    <t>Snare|L</t>
    <phoneticPr fontId="1"/>
  </si>
  <si>
    <t>Snare|R</t>
    <phoneticPr fontId="1"/>
  </si>
  <si>
    <t>Snare|Flam</t>
    <phoneticPr fontId="1"/>
  </si>
  <si>
    <t>Snare|Roll</t>
    <phoneticPr fontId="1"/>
  </si>
  <si>
    <t>Snare|Roll 2</t>
    <phoneticPr fontId="1"/>
  </si>
  <si>
    <t>Snare|Off Center</t>
    <phoneticPr fontId="1"/>
  </si>
  <si>
    <t>Snare|Off Center L</t>
    <phoneticPr fontId="1"/>
  </si>
  <si>
    <t>Snare|Off Center R</t>
    <phoneticPr fontId="1"/>
  </si>
  <si>
    <t>Snare|Edge</t>
    <phoneticPr fontId="1"/>
  </si>
  <si>
    <t>Snare|Wires Off</t>
    <phoneticPr fontId="1"/>
  </si>
  <si>
    <t>Snare Rim|Shot</t>
    <phoneticPr fontId="1"/>
  </si>
  <si>
    <t>Snare Rim|L</t>
    <phoneticPr fontId="1"/>
  </si>
  <si>
    <t>Snare Rim|R</t>
    <phoneticPr fontId="1"/>
  </si>
  <si>
    <t>Snare Rim|Shallow</t>
    <phoneticPr fontId="1"/>
  </si>
  <si>
    <t>Snare Rim|Only</t>
    <phoneticPr fontId="1"/>
  </si>
  <si>
    <t>Sticks|</t>
    <phoneticPr fontId="1"/>
  </si>
  <si>
    <t>Snare Sidestick|Sidestick</t>
    <phoneticPr fontId="1"/>
  </si>
  <si>
    <t>Hi-Hat Pedal|Pedal Closed</t>
    <phoneticPr fontId="1"/>
  </si>
  <si>
    <t>Hi-Hat Pedal|Pedal Open</t>
    <phoneticPr fontId="1"/>
  </si>
  <si>
    <t>Hi-Hat Pedal|Pedal Splash</t>
    <phoneticPr fontId="1"/>
  </si>
  <si>
    <t>Hi-Hat|Closed Edge</t>
    <phoneticPr fontId="1"/>
  </si>
  <si>
    <t>Hi-Hat|Closed Edge L</t>
    <phoneticPr fontId="1"/>
  </si>
  <si>
    <t>Hi-Hat|Closed Edge R</t>
    <phoneticPr fontId="1"/>
  </si>
  <si>
    <t>Hi-Hat|Tight Edge</t>
    <phoneticPr fontId="1"/>
  </si>
  <si>
    <t>Hi-Hat|Closed Tip</t>
    <phoneticPr fontId="1"/>
  </si>
  <si>
    <t>Hi-Hat|Closed Tip L</t>
    <phoneticPr fontId="1"/>
  </si>
  <si>
    <t>Hi-Hat|Closed Tip R</t>
    <phoneticPr fontId="1"/>
  </si>
  <si>
    <t>Hi-Hat|Tight Tip</t>
    <phoneticPr fontId="1"/>
  </si>
  <si>
    <t>Hi-Hat|Tight Tip L</t>
    <phoneticPr fontId="1"/>
  </si>
  <si>
    <t>Hi-Hat|Tight Tip R</t>
    <phoneticPr fontId="1"/>
  </si>
  <si>
    <t>Hi-Hat|Closed Bell</t>
    <phoneticPr fontId="1"/>
  </si>
  <si>
    <t>Hi-Hat|Sequenced Hit</t>
    <phoneticPr fontId="1"/>
  </si>
  <si>
    <t>Hi-Hat Open Edge|0</t>
    <phoneticPr fontId="1"/>
  </si>
  <si>
    <t>Hi-Hat Open Edge|1</t>
    <phoneticPr fontId="1"/>
  </si>
  <si>
    <t>Hi-Hat Open Edge|2</t>
    <phoneticPr fontId="1"/>
  </si>
  <si>
    <t>Hi-Hat Open Edge|3</t>
    <phoneticPr fontId="1"/>
  </si>
  <si>
    <t>Hi-Hat Open Edge|4</t>
    <phoneticPr fontId="1"/>
  </si>
  <si>
    <t>Hi-Hat Open Edge|5</t>
    <phoneticPr fontId="1"/>
  </si>
  <si>
    <t>Hi-Hat Open Tip|0</t>
    <phoneticPr fontId="1"/>
  </si>
  <si>
    <t>Hi-Hat Open Tip|1</t>
    <phoneticPr fontId="1"/>
  </si>
  <si>
    <t>Hi-Hat Open Tip|2</t>
    <phoneticPr fontId="1"/>
  </si>
  <si>
    <t>Hi-Hat Open Tip|3</t>
    <phoneticPr fontId="1"/>
  </si>
  <si>
    <t>Hi-Hat Open Tip|4</t>
    <phoneticPr fontId="1"/>
  </si>
  <si>
    <t>Hi-Hat Open Tip|5</t>
    <phoneticPr fontId="1"/>
  </si>
  <si>
    <t>Hi-Hat Open Bell|0</t>
    <phoneticPr fontId="1"/>
  </si>
  <si>
    <t>Hi-Hat Open Bell|1</t>
    <phoneticPr fontId="1"/>
  </si>
  <si>
    <t>Hi-Hat Open Bell|2</t>
    <phoneticPr fontId="1"/>
  </si>
  <si>
    <t>Hi-Hat Open Bell|3</t>
    <phoneticPr fontId="1"/>
  </si>
  <si>
    <t>Hi-Hat Open Bell|4</t>
    <phoneticPr fontId="1"/>
  </si>
  <si>
    <t>Ride 1|Bow Tip 1</t>
    <phoneticPr fontId="1"/>
  </si>
  <si>
    <t>Ride 1|Bow Tip 2</t>
    <phoneticPr fontId="1"/>
  </si>
  <si>
    <t>Ride 1|Bow Shank</t>
    <phoneticPr fontId="1"/>
  </si>
  <si>
    <t>Ride 1|Edge</t>
    <phoneticPr fontId="1"/>
  </si>
  <si>
    <t>Ride 1|Bell Tip</t>
    <phoneticPr fontId="1"/>
  </si>
  <si>
    <t>Ride 1|Bell Shank</t>
    <phoneticPr fontId="1"/>
  </si>
  <si>
    <t>Ride 1|Choke</t>
    <phoneticPr fontId="1"/>
  </si>
  <si>
    <t>Ride 2|Bow Tip</t>
    <phoneticPr fontId="1"/>
  </si>
  <si>
    <t>Ride 2|Bow Shank</t>
    <phoneticPr fontId="1"/>
  </si>
  <si>
    <t>Ride 2|Bell Tip</t>
    <phoneticPr fontId="1"/>
  </si>
  <si>
    <t>Ride 2|Choke</t>
    <phoneticPr fontId="1"/>
  </si>
  <si>
    <t>Hightom 1|</t>
    <phoneticPr fontId="1"/>
  </si>
  <si>
    <t>Hightom 1|Rimshot</t>
    <phoneticPr fontId="1"/>
  </si>
  <si>
    <t>Hightom 2|</t>
    <phoneticPr fontId="1"/>
  </si>
  <si>
    <t>Hightom 2|Rimshot</t>
    <phoneticPr fontId="1"/>
  </si>
  <si>
    <t>Hightom 3|</t>
    <phoneticPr fontId="1"/>
  </si>
  <si>
    <t>Hightom 3|Rimshot</t>
    <phoneticPr fontId="1"/>
  </si>
  <si>
    <t>Hightom 4|</t>
    <phoneticPr fontId="1"/>
  </si>
  <si>
    <t>Hightom 4|Rimshot</t>
    <phoneticPr fontId="1"/>
  </si>
  <si>
    <t>Racktom 1|</t>
    <phoneticPr fontId="1"/>
  </si>
  <si>
    <t>Racktom 1|L</t>
    <phoneticPr fontId="1"/>
  </si>
  <si>
    <t>Racktom 1|R</t>
    <phoneticPr fontId="1"/>
  </si>
  <si>
    <t>Racktom 1|Rimshot</t>
    <phoneticPr fontId="1"/>
  </si>
  <si>
    <t>Racktom 1|Rim Only</t>
    <phoneticPr fontId="1"/>
  </si>
  <si>
    <t>Racktom 1|Mute</t>
    <phoneticPr fontId="1"/>
  </si>
  <si>
    <t>Racktom 2|</t>
    <phoneticPr fontId="1"/>
  </si>
  <si>
    <t>Racktom 2|L</t>
    <phoneticPr fontId="1"/>
  </si>
  <si>
    <t>Racktom 2|R</t>
    <phoneticPr fontId="1"/>
  </si>
  <si>
    <t>Racktom 2|Rimshot</t>
    <phoneticPr fontId="1"/>
  </si>
  <si>
    <t>Racktom 2|Rim Only</t>
    <phoneticPr fontId="1"/>
  </si>
  <si>
    <t>Racktom 2|Mute</t>
    <phoneticPr fontId="1"/>
  </si>
  <si>
    <t>Racktom 3|</t>
    <phoneticPr fontId="1"/>
  </si>
  <si>
    <t>Racktom 3|L</t>
    <phoneticPr fontId="1"/>
  </si>
  <si>
    <t>Racktom 3|R</t>
    <phoneticPr fontId="1"/>
  </si>
  <si>
    <t>Racktom 3|Rimshot</t>
    <phoneticPr fontId="1"/>
  </si>
  <si>
    <t>Racktom 3|Rim Only</t>
    <phoneticPr fontId="1"/>
  </si>
  <si>
    <t>Racktom 4|</t>
    <phoneticPr fontId="1"/>
  </si>
  <si>
    <t>Racktom 4|Rimshot</t>
    <phoneticPr fontId="1"/>
  </si>
  <si>
    <t>Racktom 4|Rim Only</t>
    <phoneticPr fontId="1"/>
  </si>
  <si>
    <t>Floortom 1|</t>
    <phoneticPr fontId="1"/>
  </si>
  <si>
    <t>Floortom 1|L</t>
    <phoneticPr fontId="1"/>
  </si>
  <si>
    <t>Floortom 1|R</t>
    <phoneticPr fontId="1"/>
  </si>
  <si>
    <t>Floortom 1|Alt</t>
    <phoneticPr fontId="1"/>
  </si>
  <si>
    <t>Floortom 1|Rimshot</t>
    <phoneticPr fontId="1"/>
  </si>
  <si>
    <t>Floortom 1|Rim Only</t>
    <phoneticPr fontId="1"/>
  </si>
  <si>
    <t>Floortom 1|Mute</t>
    <phoneticPr fontId="1"/>
  </si>
  <si>
    <t>Floortom 2|</t>
    <phoneticPr fontId="1"/>
  </si>
  <si>
    <t>Floortom 2|L</t>
    <phoneticPr fontId="1"/>
  </si>
  <si>
    <t>Floortom 2|R</t>
    <phoneticPr fontId="1"/>
  </si>
  <si>
    <t>Floortom 2|Rimshot</t>
    <phoneticPr fontId="1"/>
  </si>
  <si>
    <t>Floortom 2|Rim Only</t>
    <phoneticPr fontId="1"/>
  </si>
  <si>
    <t>Crash L|L</t>
    <phoneticPr fontId="1"/>
  </si>
  <si>
    <t>Crash L|L Bow Tip</t>
    <phoneticPr fontId="1"/>
  </si>
  <si>
    <t>Crash L|L Bow Shank</t>
    <phoneticPr fontId="1"/>
  </si>
  <si>
    <t>Crash L|L Bell Tip</t>
    <phoneticPr fontId="1"/>
  </si>
  <si>
    <t>Crash L|L Bell Shank</t>
    <phoneticPr fontId="1"/>
  </si>
  <si>
    <t>Crash L|L Choke</t>
    <phoneticPr fontId="1"/>
  </si>
  <si>
    <t>Crash R|R</t>
    <phoneticPr fontId="1"/>
  </si>
  <si>
    <t>Crash R|R Bow Tip</t>
    <phoneticPr fontId="1"/>
  </si>
  <si>
    <t>Crash R|R Bow Shank</t>
    <phoneticPr fontId="1"/>
  </si>
  <si>
    <t>Crash R|R Bell Tip</t>
    <phoneticPr fontId="1"/>
  </si>
  <si>
    <t>Crash R|R Bell Shank</t>
    <phoneticPr fontId="1"/>
  </si>
  <si>
    <t>Crash R|R Choke</t>
    <phoneticPr fontId="1"/>
  </si>
  <si>
    <t>Splash 1|</t>
    <phoneticPr fontId="1"/>
  </si>
  <si>
    <t>Splash 1|Bow Tip</t>
    <phoneticPr fontId="1"/>
  </si>
  <si>
    <t>Splash 1|Bow Shank</t>
    <phoneticPr fontId="1"/>
  </si>
  <si>
    <t>Splash 1|Bell Tip</t>
    <phoneticPr fontId="1"/>
  </si>
  <si>
    <t>Splash 1|Bell Shank</t>
    <phoneticPr fontId="1"/>
  </si>
  <si>
    <t>Splash 1|Choke</t>
    <phoneticPr fontId="1"/>
  </si>
  <si>
    <t>Splash 2|</t>
    <phoneticPr fontId="1"/>
  </si>
  <si>
    <t>Splash 2|Choke</t>
    <phoneticPr fontId="1"/>
  </si>
  <si>
    <t>Splash 3|</t>
    <phoneticPr fontId="1"/>
  </si>
  <si>
    <t>Splash 3|Choke</t>
    <phoneticPr fontId="1"/>
  </si>
  <si>
    <t>China 1|</t>
    <phoneticPr fontId="1"/>
  </si>
  <si>
    <t>China 1|Bow Tip</t>
    <phoneticPr fontId="1"/>
  </si>
  <si>
    <t>China 1|Bow Shank</t>
    <phoneticPr fontId="1"/>
  </si>
  <si>
    <t>China 1|Bell Tip</t>
    <phoneticPr fontId="1"/>
  </si>
  <si>
    <t>China 1|Bell Shank</t>
    <phoneticPr fontId="1"/>
  </si>
  <si>
    <t>China 1|Choke</t>
    <phoneticPr fontId="1"/>
  </si>
  <si>
    <t>China 2|</t>
    <phoneticPr fontId="1"/>
  </si>
  <si>
    <t>China 2|Bow Tip</t>
    <phoneticPr fontId="1"/>
  </si>
  <si>
    <t>China 2|Choke</t>
    <phoneticPr fontId="1"/>
  </si>
  <si>
    <t>Crash 1|</t>
    <phoneticPr fontId="1"/>
  </si>
  <si>
    <t>Crash 1|Bow Tip</t>
    <phoneticPr fontId="1"/>
  </si>
  <si>
    <t>Crash 1|Bow Shank</t>
    <phoneticPr fontId="1"/>
  </si>
  <si>
    <t>Crash 1|Bell Tip</t>
    <phoneticPr fontId="1"/>
  </si>
  <si>
    <t>Crash 1|Bell Shank</t>
    <phoneticPr fontId="1"/>
  </si>
  <si>
    <t>Crash 1|Choke</t>
    <phoneticPr fontId="1"/>
  </si>
  <si>
    <t>Crash 2|</t>
    <phoneticPr fontId="1"/>
  </si>
  <si>
    <t>Crash 2|Bow Tip</t>
    <phoneticPr fontId="1"/>
  </si>
  <si>
    <t>Crash 2|Bow Shank</t>
    <phoneticPr fontId="1"/>
  </si>
  <si>
    <t>Crash 2|Bell Tip</t>
    <phoneticPr fontId="1"/>
  </si>
  <si>
    <t>Crash 2|Bell Shank</t>
    <phoneticPr fontId="1"/>
  </si>
  <si>
    <t>Crash 2|Choke</t>
    <phoneticPr fontId="1"/>
  </si>
  <si>
    <t>Crash 3|</t>
    <phoneticPr fontId="1"/>
  </si>
  <si>
    <t>Crash 3|Choke</t>
    <phoneticPr fontId="1"/>
  </si>
  <si>
    <t>Crash 4|</t>
    <phoneticPr fontId="1"/>
  </si>
  <si>
    <t>Crash 4|Choke</t>
    <phoneticPr fontId="1"/>
  </si>
  <si>
    <t>Crash 5|</t>
    <phoneticPr fontId="1"/>
  </si>
  <si>
    <t>Spock|</t>
    <phoneticPr fontId="1"/>
  </si>
  <si>
    <t>Spock|Bow</t>
    <phoneticPr fontId="1"/>
  </si>
  <si>
    <t>Spock|Choke</t>
    <phoneticPr fontId="1"/>
  </si>
  <si>
    <t>Bell|</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</si>
</sst>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ＭＳ ゴシック"/>
      <family val="2"/>
      <charset val="128"/>
    </font>
    <font>
      <sz val="6"/>
      <name val="ＭＳ ゴシック"/>
      <family val="2"/>
      <charset val="128"/>
    </font>
    <font>
      <sz val="11"/>
      <color theme="1"/>
      <name val="游ゴシック"/>
      <family val="2"/>
      <charset val="128"/>
      <scheme val="minor"/>
    </font>
    <font>
      <sz val="11"/>
      <color theme="1"/>
      <name val="ＭＳ ゴシック"/>
      <family val="3"/>
      <charset val="128"/>
    </font>
    <font>
      <sz val="6"/>
      <name val="游ゴシック"/>
      <family val="2"/>
      <charset val="128"/>
      <scheme val="minor"/>
    </font>
    <font>
      <sz val="11"/>
      <name val="ＭＳ ゴシック"/>
      <family val="3"/>
      <charset val="128"/>
    </font>
    <font>
      <sz val="11"/>
      <color theme="0"/>
      <name val="ＭＳ ゴシック"/>
      <family val="2"/>
      <charset val="128"/>
    </font>
    <font>
      <sz val="11"/>
      <color rgb="FF1F1F1F"/>
      <name val="ＭＳ ゴシック"/>
      <family val="3"/>
      <charset val="128"/>
    </font>
  </fonts>
  <fills count="7">
    <fill>
      <patternFill patternType="none"/>
    </fill>
    <fill>
      <patternFill patternType="gray125"/>
    </fill>
    <fill>
      <patternFill patternType="solid">
        <fgColor theme="1"/>
        <bgColor indexed="64"/>
      </patternFill>
    </fill>
    <fill>
      <patternFill patternType="solid">
        <fgColor theme="2"/>
        <bgColor indexed="64"/>
      </patternFill>
    </fill>
    <fill>
      <patternFill patternType="solid">
        <fgColor theme="3" tint="0.89999084444715716"/>
        <bgColor indexed="64"/>
      </patternFill>
    </fill>
    <fill>
      <patternFill patternType="solid">
        <fgColor theme="4" tint="0.79998168889431442"/>
        <bgColor indexed="64"/>
      </patternFill>
    </fill>
    <fill>
      <patternFill patternType="solid">
        <fgColor rgb="FFC0E6F5"/>
        <bgColor indexed="64"/>
      </patternFill>
    </fill>
  </fills>
  <borders count="8">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style="hair">
        <color auto="1"/>
      </left>
      <right style="hair">
        <color auto="1"/>
      </right>
      <top style="hair">
        <color auto="1"/>
      </top>
      <bottom style="hair">
        <color auto="1"/>
      </bottom>
      <diagonal/>
    </border>
  </borders>
  <cellStyleXfs count="3">
    <xf numFmtId="0" fontId="0" fillId="0" borderId="0">
      <alignment vertical="center"/>
    </xf>
    <xf numFmtId="0" fontId="2" fillId="0" borderId="0">
      <alignment vertical="center"/>
    </xf>
    <xf numFmtId="0" fontId="2" fillId="0" borderId="0">
      <alignment vertical="center"/>
    </xf>
  </cellStyleXfs>
  <cellXfs count="29">
    <xf numFmtId="0" fontId="0" fillId="0" borderId="0" xfId="0">
      <alignment vertical="center"/>
    </xf>
    <xf numFmtId="0" fontId="3" fillId="0" borderId="0" xfId="0" applyFont="1" applyAlignment="1">
      <alignment horizontal="center" vertical="center"/>
    </xf>
    <xf numFmtId="0" fontId="3" fillId="0" borderId="0" xfId="0" applyFont="1">
      <alignment vertical="center"/>
    </xf>
    <xf numFmtId="0" fontId="3" fillId="0" borderId="0" xfId="1" applyFont="1" applyAlignment="1">
      <alignment horizontal="center" vertical="center" textRotation="90"/>
    </xf>
    <xf numFmtId="0" fontId="3" fillId="0" borderId="0" xfId="1" applyFont="1" applyAlignment="1">
      <alignment horizontal="center" vertical="center"/>
    </xf>
    <xf numFmtId="0" fontId="3" fillId="0" borderId="0" xfId="2" applyFont="1" applyAlignment="1">
      <alignment horizontal="center" vertical="center"/>
    </xf>
    <xf numFmtId="0" fontId="0" fillId="0" borderId="0" xfId="0" applyAlignment="1">
      <alignment horizontal="center" vertical="center" textRotation="90"/>
    </xf>
    <xf numFmtId="0" fontId="0" fillId="0" borderId="0" xfId="0" applyAlignment="1">
      <alignment horizontal="center" vertical="center"/>
    </xf>
    <xf numFmtId="0" fontId="5" fillId="0" borderId="0" xfId="0" applyFont="1" applyAlignment="1">
      <alignment horizontal="center" vertical="center" textRotation="90"/>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5" fillId="3" borderId="0" xfId="0" applyFont="1" applyFill="1" applyAlignment="1">
      <alignment horizontal="center" vertical="center" textRotation="90"/>
    </xf>
    <xf numFmtId="0" fontId="5" fillId="4" borderId="0" xfId="0" applyFont="1" applyFill="1" applyAlignment="1">
      <alignment horizontal="center" vertical="center" textRotation="90"/>
    </xf>
    <xf numFmtId="0" fontId="0" fillId="0" borderId="0" xfId="0" applyProtection="1">
      <alignment vertical="center"/>
      <protection locked="0"/>
    </xf>
    <xf numFmtId="0" fontId="0" fillId="0" borderId="7" xfId="0" applyBorder="1" applyAlignment="1">
      <alignment horizontal="center" vertical="center" textRotation="90"/>
    </xf>
    <xf numFmtId="0" fontId="0" fillId="5" borderId="7" xfId="0" applyFill="1" applyBorder="1" applyAlignment="1">
      <alignment horizontal="center" vertical="center" textRotation="90"/>
    </xf>
    <xf numFmtId="0" fontId="0" fillId="5" borderId="7" xfId="0" applyFill="1" applyBorder="1" applyAlignment="1">
      <alignment horizontal="center" vertical="center" textRotation="90" wrapText="1"/>
    </xf>
    <xf numFmtId="0" fontId="3" fillId="0" borderId="0" xfId="0" applyFont="1" applyAlignment="1">
      <alignment horizontal="center" vertical="center" textRotation="90"/>
    </xf>
    <xf numFmtId="0" fontId="3" fillId="3" borderId="0" xfId="0" applyFont="1" applyFill="1" applyAlignment="1">
      <alignment horizontal="center" vertical="center" textRotation="90"/>
    </xf>
    <xf numFmtId="0" fontId="7" fillId="0" borderId="0" xfId="0" applyFont="1" applyAlignment="1">
      <alignment horizontal="center" vertical="center" textRotation="90"/>
    </xf>
    <xf numFmtId="0" fontId="3" fillId="0" borderId="0" xfId="0" quotePrefix="1" applyFont="1" applyAlignment="1">
      <alignment horizontal="left" vertical="center"/>
    </xf>
    <xf numFmtId="0" fontId="3" fillId="0" borderId="0" xfId="0" applyFont="1" applyAlignment="1">
      <alignment horizontal="left" vertical="center"/>
    </xf>
    <xf numFmtId="0" fontId="0" fillId="6" borderId="7" xfId="0" applyFill="1" applyBorder="1" applyAlignment="1">
      <alignment horizontal="center" vertical="center" textRotation="90"/>
    </xf>
    <xf numFmtId="0" fontId="6" fillId="2" borderId="6" xfId="0" applyFont="1" applyFill="1" applyBorder="1" applyAlignment="1">
      <alignment horizontal="center" vertical="center" textRotation="90"/>
    </xf>
    <xf numFmtId="0" fontId="0" fillId="0" borderId="2" xfId="0" applyBorder="1" applyAlignment="1">
      <alignment horizontal="center" vertical="center" textRotation="90" wrapText="1"/>
    </xf>
    <xf numFmtId="0" fontId="0" fillId="0" borderId="1" xfId="0" applyBorder="1" applyAlignment="1">
      <alignment horizontal="center" vertical="center" textRotation="90" wrapText="1"/>
    </xf>
    <xf numFmtId="0" fontId="0" fillId="0" borderId="3" xfId="0" applyBorder="1" applyAlignment="1">
      <alignment horizontal="center" vertical="center" textRotation="90" wrapText="1"/>
    </xf>
    <xf numFmtId="0" fontId="0" fillId="0" borderId="7" xfId="0" applyFill="1" applyBorder="1" applyAlignment="1">
      <alignment horizontal="center" vertical="center" textRotation="90"/>
    </xf>
  </cellXfs>
  <cellStyles count="3">
    <cellStyle name="標準" xfId="0" builtinId="0"/>
    <cellStyle name="標準 2" xfId="2" xr:uid="{D112D722-7764-4519-BD34-A2171374C871}"/>
    <cellStyle name="標準 6" xfId="1" xr:uid="{0B492B7E-CEC1-4D9B-894F-1141E6128C9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50006-59E1-443E-A768-B1302DBD7672}">
  <sheetPr codeName="Sheet21"/>
  <dimension ref="B1:AU5"/>
  <sheetViews>
    <sheetView workbookViewId="0"/>
  </sheetViews>
  <sheetFormatPr defaultColWidth="2.375" defaultRowHeight="13.5"/>
  <cols>
    <col min="2" max="2" width="4.5" customWidth="1"/>
    <col min="3" max="10" width="2.25" customWidth="1"/>
    <col min="11" max="12" width="4.5" customWidth="1"/>
    <col min="13" max="17" width="2.25" customWidth="1"/>
    <col min="18" max="19" width="4.5" customWidth="1"/>
    <col min="20" max="27" width="2.25" customWidth="1"/>
    <col min="28" max="29" width="4.5" customWidth="1"/>
    <col min="30" max="34" width="2.25" customWidth="1"/>
    <col min="35" max="36" width="4.5" customWidth="1"/>
    <col min="37" max="44" width="2.25" customWidth="1"/>
    <col min="45" max="45" width="4.5" customWidth="1"/>
    <col min="46" max="47" width="3" customWidth="1"/>
  </cols>
  <sheetData>
    <row r="1" spans="2:47" ht="14.25" thickBot="1"/>
    <row r="2" spans="2:47" ht="148.5" customHeight="1">
      <c r="B2" s="10"/>
      <c r="C2" s="24"/>
      <c r="D2" s="24"/>
      <c r="E2" s="11"/>
      <c r="F2" s="24"/>
      <c r="G2" s="24"/>
      <c r="H2" s="11"/>
      <c r="I2" s="24"/>
      <c r="J2" s="24"/>
      <c r="K2" s="9"/>
      <c r="L2" s="10"/>
      <c r="M2" s="24"/>
      <c r="N2" s="24"/>
      <c r="O2" s="11"/>
      <c r="P2" s="24"/>
      <c r="Q2" s="24"/>
      <c r="R2" s="9"/>
      <c r="S2" s="10"/>
      <c r="T2" s="24"/>
      <c r="U2" s="24"/>
      <c r="V2" s="11"/>
      <c r="W2" s="24"/>
      <c r="X2" s="24"/>
      <c r="Y2" s="11"/>
      <c r="Z2" s="24"/>
      <c r="AA2" s="24"/>
      <c r="AB2" s="9"/>
      <c r="AC2" s="10"/>
      <c r="AD2" s="24"/>
      <c r="AE2" s="24"/>
      <c r="AF2" s="11"/>
      <c r="AG2" s="24"/>
      <c r="AH2" s="24"/>
      <c r="AI2" s="9"/>
      <c r="AJ2" s="10"/>
      <c r="AK2" s="24"/>
      <c r="AL2" s="24"/>
      <c r="AM2" s="11"/>
      <c r="AN2" s="24"/>
      <c r="AO2" s="24"/>
      <c r="AP2" s="11"/>
      <c r="AQ2" s="24"/>
      <c r="AR2" s="24"/>
      <c r="AS2" s="9"/>
      <c r="AT2" s="10"/>
      <c r="AU2" s="9"/>
    </row>
    <row r="3" spans="2:47" ht="93.75" customHeight="1" thickBot="1">
      <c r="B3" s="25"/>
      <c r="C3" s="26"/>
      <c r="D3" s="25"/>
      <c r="E3" s="27"/>
      <c r="F3" s="26"/>
      <c r="G3" s="25"/>
      <c r="H3" s="27"/>
      <c r="I3" s="26"/>
      <c r="J3" s="25"/>
      <c r="K3" s="26"/>
      <c r="L3" s="25"/>
      <c r="M3" s="26"/>
      <c r="N3" s="25"/>
      <c r="O3" s="27"/>
      <c r="P3" s="26"/>
      <c r="Q3" s="25"/>
      <c r="R3" s="26"/>
      <c r="S3" s="25"/>
      <c r="T3" s="26"/>
      <c r="U3" s="25"/>
      <c r="V3" s="27"/>
      <c r="W3" s="26"/>
      <c r="X3" s="25"/>
      <c r="Y3" s="27"/>
      <c r="Z3" s="26"/>
      <c r="AA3" s="25"/>
      <c r="AB3" s="26"/>
      <c r="AC3" s="25"/>
      <c r="AD3" s="26"/>
      <c r="AE3" s="25"/>
      <c r="AF3" s="27"/>
      <c r="AG3" s="26"/>
      <c r="AH3" s="25"/>
      <c r="AI3" s="26"/>
      <c r="AJ3" s="25"/>
      <c r="AK3" s="26"/>
      <c r="AL3" s="25"/>
      <c r="AM3" s="27"/>
      <c r="AN3" s="26"/>
      <c r="AO3" s="25"/>
      <c r="AP3" s="27"/>
      <c r="AQ3" s="26"/>
      <c r="AR3" s="25"/>
      <c r="AS3" s="26"/>
      <c r="AT3" s="25"/>
      <c r="AU3" s="26"/>
    </row>
    <row r="5" spans="2:47">
      <c r="L5" t="s">
        <v>578</v>
      </c>
      <c r="AC5" t="s">
        <v>577</v>
      </c>
      <c r="AT5" t="s">
        <v>613</v>
      </c>
    </row>
  </sheetData>
  <mergeCells count="32">
    <mergeCell ref="B3:C3"/>
    <mergeCell ref="D3:F3"/>
    <mergeCell ref="G3:I3"/>
    <mergeCell ref="J3:K3"/>
    <mergeCell ref="L3:M3"/>
    <mergeCell ref="AJ3:AK3"/>
    <mergeCell ref="AL3:AN3"/>
    <mergeCell ref="AO3:AQ3"/>
    <mergeCell ref="AR3:AS3"/>
    <mergeCell ref="Q3:R3"/>
    <mergeCell ref="S3:T3"/>
    <mergeCell ref="U3:W3"/>
    <mergeCell ref="X3:Z3"/>
    <mergeCell ref="AA3:AB3"/>
    <mergeCell ref="AC3:AD3"/>
    <mergeCell ref="AH3:AI3"/>
    <mergeCell ref="AK2:AL2"/>
    <mergeCell ref="AN2:AO2"/>
    <mergeCell ref="AQ2:AR2"/>
    <mergeCell ref="AT3:AU3"/>
    <mergeCell ref="C2:D2"/>
    <mergeCell ref="F2:G2"/>
    <mergeCell ref="I2:J2"/>
    <mergeCell ref="M2:N2"/>
    <mergeCell ref="P2:Q2"/>
    <mergeCell ref="T2:U2"/>
    <mergeCell ref="W2:X2"/>
    <mergeCell ref="Z2:AA2"/>
    <mergeCell ref="AD2:AE2"/>
    <mergeCell ref="AE3:AG3"/>
    <mergeCell ref="AG2:AH2"/>
    <mergeCell ref="N3:P3"/>
  </mergeCells>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C89483-EE29-495B-9A91-93CA60DD501B}">
  <sheetPr codeName="Sheet10"/>
  <dimension ref="A1:B129"/>
  <sheetViews>
    <sheetView workbookViewId="0">
      <pane ySplit="1" topLeftCell="A2" activePane="bottomLeft" state="frozen"/>
      <selection pane="bottomLeft" activeCell="A2" sqref="A2"/>
    </sheetView>
  </sheetViews>
  <sheetFormatPr defaultRowHeight="13.5"/>
  <cols>
    <col min="1" max="1" width="4.5" style="2" bestFit="1" customWidth="1"/>
    <col min="2" max="2" width="5.5" style="2" bestFit="1" customWidth="1"/>
    <col min="3" max="16384" width="9" style="2"/>
  </cols>
  <sheetData>
    <row r="1" spans="1:2" s="1" customFormat="1" ht="33.75">
      <c r="A1" s="3" t="s">
        <v>0</v>
      </c>
      <c r="B1" s="3" t="s">
        <v>1</v>
      </c>
    </row>
    <row r="2" spans="1:2">
      <c r="A2" s="4">
        <v>0</v>
      </c>
      <c r="B2" s="5" t="s">
        <v>2</v>
      </c>
    </row>
    <row r="3" spans="1:2">
      <c r="A3" s="4">
        <v>1</v>
      </c>
      <c r="B3" s="5" t="s">
        <v>3</v>
      </c>
    </row>
    <row r="4" spans="1:2">
      <c r="A4" s="4">
        <v>2</v>
      </c>
      <c r="B4" s="5" t="s">
        <v>4</v>
      </c>
    </row>
    <row r="5" spans="1:2">
      <c r="A5" s="4">
        <v>3</v>
      </c>
      <c r="B5" s="5" t="s">
        <v>5</v>
      </c>
    </row>
    <row r="6" spans="1:2">
      <c r="A6" s="4">
        <v>4</v>
      </c>
      <c r="B6" s="5" t="s">
        <v>6</v>
      </c>
    </row>
    <row r="7" spans="1:2">
      <c r="A7" s="4">
        <v>5</v>
      </c>
      <c r="B7" s="5" t="s">
        <v>7</v>
      </c>
    </row>
    <row r="8" spans="1:2">
      <c r="A8" s="4">
        <v>6</v>
      </c>
      <c r="B8" s="5" t="s">
        <v>8</v>
      </c>
    </row>
    <row r="9" spans="1:2">
      <c r="A9" s="4">
        <v>7</v>
      </c>
      <c r="B9" s="5" t="s">
        <v>9</v>
      </c>
    </row>
    <row r="10" spans="1:2">
      <c r="A10" s="4">
        <v>8</v>
      </c>
      <c r="B10" s="5" t="s">
        <v>10</v>
      </c>
    </row>
    <row r="11" spans="1:2">
      <c r="A11" s="4">
        <v>9</v>
      </c>
      <c r="B11" s="5" t="s">
        <v>11</v>
      </c>
    </row>
    <row r="12" spans="1:2">
      <c r="A12" s="4">
        <v>10</v>
      </c>
      <c r="B12" s="5" t="s">
        <v>12</v>
      </c>
    </row>
    <row r="13" spans="1:2">
      <c r="A13" s="4">
        <v>11</v>
      </c>
      <c r="B13" s="5" t="s">
        <v>13</v>
      </c>
    </row>
    <row r="14" spans="1:2">
      <c r="A14" s="4">
        <v>12</v>
      </c>
      <c r="B14" s="5" t="s">
        <v>14</v>
      </c>
    </row>
    <row r="15" spans="1:2">
      <c r="A15" s="4">
        <v>13</v>
      </c>
      <c r="B15" s="5" t="s">
        <v>15</v>
      </c>
    </row>
    <row r="16" spans="1:2">
      <c r="A16" s="4">
        <v>14</v>
      </c>
      <c r="B16" s="5" t="s">
        <v>16</v>
      </c>
    </row>
    <row r="17" spans="1:2">
      <c r="A17" s="4">
        <v>15</v>
      </c>
      <c r="B17" s="5" t="s">
        <v>17</v>
      </c>
    </row>
    <row r="18" spans="1:2">
      <c r="A18" s="4">
        <v>16</v>
      </c>
      <c r="B18" s="5" t="s">
        <v>18</v>
      </c>
    </row>
    <row r="19" spans="1:2">
      <c r="A19" s="4">
        <v>17</v>
      </c>
      <c r="B19" s="5" t="s">
        <v>19</v>
      </c>
    </row>
    <row r="20" spans="1:2">
      <c r="A20" s="4">
        <v>18</v>
      </c>
      <c r="B20" s="5" t="s">
        <v>20</v>
      </c>
    </row>
    <row r="21" spans="1:2">
      <c r="A21" s="4">
        <v>19</v>
      </c>
      <c r="B21" s="5" t="s">
        <v>21</v>
      </c>
    </row>
    <row r="22" spans="1:2">
      <c r="A22" s="4">
        <v>20</v>
      </c>
      <c r="B22" s="5" t="s">
        <v>22</v>
      </c>
    </row>
    <row r="23" spans="1:2">
      <c r="A23" s="4">
        <v>21</v>
      </c>
      <c r="B23" s="5" t="s">
        <v>23</v>
      </c>
    </row>
    <row r="24" spans="1:2">
      <c r="A24" s="4">
        <v>22</v>
      </c>
      <c r="B24" s="5" t="s">
        <v>24</v>
      </c>
    </row>
    <row r="25" spans="1:2">
      <c r="A25" s="4">
        <v>23</v>
      </c>
      <c r="B25" s="5" t="s">
        <v>25</v>
      </c>
    </row>
    <row r="26" spans="1:2">
      <c r="A26" s="4">
        <v>24</v>
      </c>
      <c r="B26" s="5" t="s">
        <v>26</v>
      </c>
    </row>
    <row r="27" spans="1:2">
      <c r="A27" s="4">
        <v>25</v>
      </c>
      <c r="B27" s="5" t="s">
        <v>27</v>
      </c>
    </row>
    <row r="28" spans="1:2">
      <c r="A28" s="4">
        <v>26</v>
      </c>
      <c r="B28" s="5" t="s">
        <v>28</v>
      </c>
    </row>
    <row r="29" spans="1:2">
      <c r="A29" s="4">
        <v>27</v>
      </c>
      <c r="B29" s="5" t="s">
        <v>29</v>
      </c>
    </row>
    <row r="30" spans="1:2">
      <c r="A30" s="4">
        <v>28</v>
      </c>
      <c r="B30" s="5" t="s">
        <v>30</v>
      </c>
    </row>
    <row r="31" spans="1:2">
      <c r="A31" s="4">
        <v>29</v>
      </c>
      <c r="B31" s="5" t="s">
        <v>31</v>
      </c>
    </row>
    <row r="32" spans="1:2">
      <c r="A32" s="4">
        <v>30</v>
      </c>
      <c r="B32" s="5" t="s">
        <v>32</v>
      </c>
    </row>
    <row r="33" spans="1:2">
      <c r="A33" s="4">
        <v>31</v>
      </c>
      <c r="B33" s="5" t="s">
        <v>33</v>
      </c>
    </row>
    <row r="34" spans="1:2">
      <c r="A34" s="4">
        <v>32</v>
      </c>
      <c r="B34" s="5" t="s">
        <v>34</v>
      </c>
    </row>
    <row r="35" spans="1:2">
      <c r="A35" s="4">
        <v>33</v>
      </c>
      <c r="B35" s="5" t="s">
        <v>35</v>
      </c>
    </row>
    <row r="36" spans="1:2">
      <c r="A36" s="4">
        <v>34</v>
      </c>
      <c r="B36" s="5" t="s">
        <v>36</v>
      </c>
    </row>
    <row r="37" spans="1:2">
      <c r="A37" s="4">
        <v>35</v>
      </c>
      <c r="B37" s="5" t="s">
        <v>37</v>
      </c>
    </row>
    <row r="38" spans="1:2">
      <c r="A38" s="4">
        <v>36</v>
      </c>
      <c r="B38" s="5" t="s">
        <v>38</v>
      </c>
    </row>
    <row r="39" spans="1:2">
      <c r="A39" s="4">
        <v>37</v>
      </c>
      <c r="B39" s="5" t="s">
        <v>39</v>
      </c>
    </row>
    <row r="40" spans="1:2">
      <c r="A40" s="4">
        <v>38</v>
      </c>
      <c r="B40" s="5" t="s">
        <v>40</v>
      </c>
    </row>
    <row r="41" spans="1:2">
      <c r="A41" s="4">
        <v>39</v>
      </c>
      <c r="B41" s="5" t="s">
        <v>41</v>
      </c>
    </row>
    <row r="42" spans="1:2">
      <c r="A42" s="4">
        <v>40</v>
      </c>
      <c r="B42" s="5" t="s">
        <v>42</v>
      </c>
    </row>
    <row r="43" spans="1:2">
      <c r="A43" s="4">
        <v>41</v>
      </c>
      <c r="B43" s="5" t="s">
        <v>43</v>
      </c>
    </row>
    <row r="44" spans="1:2">
      <c r="A44" s="4">
        <v>42</v>
      </c>
      <c r="B44" s="5" t="s">
        <v>44</v>
      </c>
    </row>
    <row r="45" spans="1:2">
      <c r="A45" s="4">
        <v>43</v>
      </c>
      <c r="B45" s="5" t="s">
        <v>45</v>
      </c>
    </row>
    <row r="46" spans="1:2">
      <c r="A46" s="4">
        <v>44</v>
      </c>
      <c r="B46" s="5" t="s">
        <v>46</v>
      </c>
    </row>
    <row r="47" spans="1:2">
      <c r="A47" s="4">
        <v>45</v>
      </c>
      <c r="B47" s="5" t="s">
        <v>47</v>
      </c>
    </row>
    <row r="48" spans="1:2">
      <c r="A48" s="4">
        <v>46</v>
      </c>
      <c r="B48" s="5" t="s">
        <v>48</v>
      </c>
    </row>
    <row r="49" spans="1:2">
      <c r="A49" s="4">
        <v>47</v>
      </c>
      <c r="B49" s="5" t="s">
        <v>49</v>
      </c>
    </row>
    <row r="50" spans="1:2">
      <c r="A50" s="4">
        <v>48</v>
      </c>
      <c r="B50" s="5" t="s">
        <v>50</v>
      </c>
    </row>
    <row r="51" spans="1:2">
      <c r="A51" s="4">
        <v>49</v>
      </c>
      <c r="B51" s="5" t="s">
        <v>51</v>
      </c>
    </row>
    <row r="52" spans="1:2">
      <c r="A52" s="4">
        <v>50</v>
      </c>
      <c r="B52" s="5" t="s">
        <v>52</v>
      </c>
    </row>
    <row r="53" spans="1:2">
      <c r="A53" s="4">
        <v>51</v>
      </c>
      <c r="B53" s="5" t="s">
        <v>53</v>
      </c>
    </row>
    <row r="54" spans="1:2">
      <c r="A54" s="4">
        <v>52</v>
      </c>
      <c r="B54" s="5" t="s">
        <v>54</v>
      </c>
    </row>
    <row r="55" spans="1:2">
      <c r="A55" s="4">
        <v>53</v>
      </c>
      <c r="B55" s="5" t="s">
        <v>55</v>
      </c>
    </row>
    <row r="56" spans="1:2">
      <c r="A56" s="4">
        <v>54</v>
      </c>
      <c r="B56" s="5" t="s">
        <v>56</v>
      </c>
    </row>
    <row r="57" spans="1:2">
      <c r="A57" s="4">
        <v>55</v>
      </c>
      <c r="B57" s="5" t="s">
        <v>57</v>
      </c>
    </row>
    <row r="58" spans="1:2">
      <c r="A58" s="4">
        <v>56</v>
      </c>
      <c r="B58" s="5" t="s">
        <v>58</v>
      </c>
    </row>
    <row r="59" spans="1:2">
      <c r="A59" s="4">
        <v>57</v>
      </c>
      <c r="B59" s="5" t="s">
        <v>59</v>
      </c>
    </row>
    <row r="60" spans="1:2">
      <c r="A60" s="4">
        <v>58</v>
      </c>
      <c r="B60" s="5" t="s">
        <v>60</v>
      </c>
    </row>
    <row r="61" spans="1:2">
      <c r="A61" s="4">
        <v>59</v>
      </c>
      <c r="B61" s="5" t="s">
        <v>61</v>
      </c>
    </row>
    <row r="62" spans="1:2">
      <c r="A62" s="4">
        <v>60</v>
      </c>
      <c r="B62" s="5" t="s">
        <v>62</v>
      </c>
    </row>
    <row r="63" spans="1:2">
      <c r="A63" s="4">
        <v>61</v>
      </c>
      <c r="B63" s="5" t="s">
        <v>63</v>
      </c>
    </row>
    <row r="64" spans="1:2">
      <c r="A64" s="4">
        <v>62</v>
      </c>
      <c r="B64" s="5" t="s">
        <v>64</v>
      </c>
    </row>
    <row r="65" spans="1:2">
      <c r="A65" s="4">
        <v>63</v>
      </c>
      <c r="B65" s="5" t="s">
        <v>65</v>
      </c>
    </row>
    <row r="66" spans="1:2">
      <c r="A66" s="4">
        <v>64</v>
      </c>
      <c r="B66" s="5" t="s">
        <v>66</v>
      </c>
    </row>
    <row r="67" spans="1:2">
      <c r="A67" s="4">
        <v>65</v>
      </c>
      <c r="B67" s="5" t="s">
        <v>67</v>
      </c>
    </row>
    <row r="68" spans="1:2">
      <c r="A68" s="4">
        <v>66</v>
      </c>
      <c r="B68" s="5" t="s">
        <v>68</v>
      </c>
    </row>
    <row r="69" spans="1:2">
      <c r="A69" s="4">
        <v>67</v>
      </c>
      <c r="B69" s="5" t="s">
        <v>69</v>
      </c>
    </row>
    <row r="70" spans="1:2">
      <c r="A70" s="4">
        <v>68</v>
      </c>
      <c r="B70" s="5" t="s">
        <v>70</v>
      </c>
    </row>
    <row r="71" spans="1:2">
      <c r="A71" s="4">
        <v>69</v>
      </c>
      <c r="B71" s="5" t="s">
        <v>71</v>
      </c>
    </row>
    <row r="72" spans="1:2">
      <c r="A72" s="4">
        <v>70</v>
      </c>
      <c r="B72" s="5" t="s">
        <v>72</v>
      </c>
    </row>
    <row r="73" spans="1:2">
      <c r="A73" s="4">
        <v>71</v>
      </c>
      <c r="B73" s="5" t="s">
        <v>73</v>
      </c>
    </row>
    <row r="74" spans="1:2">
      <c r="A74" s="4">
        <v>72</v>
      </c>
      <c r="B74" s="5" t="s">
        <v>74</v>
      </c>
    </row>
    <row r="75" spans="1:2">
      <c r="A75" s="4">
        <v>73</v>
      </c>
      <c r="B75" s="5" t="s">
        <v>75</v>
      </c>
    </row>
    <row r="76" spans="1:2">
      <c r="A76" s="4">
        <v>74</v>
      </c>
      <c r="B76" s="5" t="s">
        <v>76</v>
      </c>
    </row>
    <row r="77" spans="1:2">
      <c r="A77" s="4">
        <v>75</v>
      </c>
      <c r="B77" s="5" t="s">
        <v>77</v>
      </c>
    </row>
    <row r="78" spans="1:2">
      <c r="A78" s="4">
        <v>76</v>
      </c>
      <c r="B78" s="5" t="s">
        <v>78</v>
      </c>
    </row>
    <row r="79" spans="1:2">
      <c r="A79" s="4">
        <v>77</v>
      </c>
      <c r="B79" s="5" t="s">
        <v>79</v>
      </c>
    </row>
    <row r="80" spans="1:2">
      <c r="A80" s="4">
        <v>78</v>
      </c>
      <c r="B80" s="5" t="s">
        <v>80</v>
      </c>
    </row>
    <row r="81" spans="1:2">
      <c r="A81" s="4">
        <v>79</v>
      </c>
      <c r="B81" s="5" t="s">
        <v>81</v>
      </c>
    </row>
    <row r="82" spans="1:2">
      <c r="A82" s="4">
        <v>80</v>
      </c>
      <c r="B82" s="5" t="s">
        <v>82</v>
      </c>
    </row>
    <row r="83" spans="1:2">
      <c r="A83" s="4">
        <v>81</v>
      </c>
      <c r="B83" s="5" t="s">
        <v>83</v>
      </c>
    </row>
    <row r="84" spans="1:2">
      <c r="A84" s="4">
        <v>82</v>
      </c>
      <c r="B84" s="5" t="s">
        <v>84</v>
      </c>
    </row>
    <row r="85" spans="1:2">
      <c r="A85" s="4">
        <v>83</v>
      </c>
      <c r="B85" s="5" t="s">
        <v>85</v>
      </c>
    </row>
    <row r="86" spans="1:2">
      <c r="A86" s="4">
        <v>84</v>
      </c>
      <c r="B86" s="5" t="s">
        <v>86</v>
      </c>
    </row>
    <row r="87" spans="1:2">
      <c r="A87" s="4">
        <v>85</v>
      </c>
      <c r="B87" s="5" t="s">
        <v>87</v>
      </c>
    </row>
    <row r="88" spans="1:2">
      <c r="A88" s="4">
        <v>86</v>
      </c>
      <c r="B88" s="5" t="s">
        <v>88</v>
      </c>
    </row>
    <row r="89" spans="1:2">
      <c r="A89" s="4">
        <v>87</v>
      </c>
      <c r="B89" s="5" t="s">
        <v>89</v>
      </c>
    </row>
    <row r="90" spans="1:2">
      <c r="A90" s="4">
        <v>88</v>
      </c>
      <c r="B90" s="5" t="s">
        <v>90</v>
      </c>
    </row>
    <row r="91" spans="1:2">
      <c r="A91" s="4">
        <v>89</v>
      </c>
      <c r="B91" s="5" t="s">
        <v>91</v>
      </c>
    </row>
    <row r="92" spans="1:2">
      <c r="A92" s="4">
        <v>90</v>
      </c>
      <c r="B92" s="5" t="s">
        <v>92</v>
      </c>
    </row>
    <row r="93" spans="1:2">
      <c r="A93" s="4">
        <v>91</v>
      </c>
      <c r="B93" s="5" t="s">
        <v>93</v>
      </c>
    </row>
    <row r="94" spans="1:2">
      <c r="A94" s="4">
        <v>92</v>
      </c>
      <c r="B94" s="5" t="s">
        <v>94</v>
      </c>
    </row>
    <row r="95" spans="1:2">
      <c r="A95" s="4">
        <v>93</v>
      </c>
      <c r="B95" s="5" t="s">
        <v>95</v>
      </c>
    </row>
    <row r="96" spans="1:2">
      <c r="A96" s="4">
        <v>94</v>
      </c>
      <c r="B96" s="5" t="s">
        <v>96</v>
      </c>
    </row>
    <row r="97" spans="1:2">
      <c r="A97" s="4">
        <v>95</v>
      </c>
      <c r="B97" s="5" t="s">
        <v>97</v>
      </c>
    </row>
    <row r="98" spans="1:2">
      <c r="A98" s="4">
        <v>96</v>
      </c>
      <c r="B98" s="5" t="s">
        <v>98</v>
      </c>
    </row>
    <row r="99" spans="1:2">
      <c r="A99" s="4">
        <v>97</v>
      </c>
      <c r="B99" s="5" t="s">
        <v>99</v>
      </c>
    </row>
    <row r="100" spans="1:2">
      <c r="A100" s="4">
        <v>98</v>
      </c>
      <c r="B100" s="5" t="s">
        <v>100</v>
      </c>
    </row>
    <row r="101" spans="1:2">
      <c r="A101" s="4">
        <v>99</v>
      </c>
      <c r="B101" s="5" t="s">
        <v>101</v>
      </c>
    </row>
    <row r="102" spans="1:2">
      <c r="A102" s="4">
        <v>100</v>
      </c>
      <c r="B102" s="5" t="s">
        <v>102</v>
      </c>
    </row>
    <row r="103" spans="1:2">
      <c r="A103" s="4">
        <v>101</v>
      </c>
      <c r="B103" s="5" t="s">
        <v>103</v>
      </c>
    </row>
    <row r="104" spans="1:2">
      <c r="A104" s="4">
        <v>102</v>
      </c>
      <c r="B104" s="5" t="s">
        <v>104</v>
      </c>
    </row>
    <row r="105" spans="1:2">
      <c r="A105" s="4">
        <v>103</v>
      </c>
      <c r="B105" s="5" t="s">
        <v>105</v>
      </c>
    </row>
    <row r="106" spans="1:2">
      <c r="A106" s="4">
        <v>104</v>
      </c>
      <c r="B106" s="5" t="s">
        <v>106</v>
      </c>
    </row>
    <row r="107" spans="1:2">
      <c r="A107" s="4">
        <v>105</v>
      </c>
      <c r="B107" s="5" t="s">
        <v>107</v>
      </c>
    </row>
    <row r="108" spans="1:2">
      <c r="A108" s="4">
        <v>106</v>
      </c>
      <c r="B108" s="5" t="s">
        <v>108</v>
      </c>
    </row>
    <row r="109" spans="1:2">
      <c r="A109" s="4">
        <v>107</v>
      </c>
      <c r="B109" s="5" t="s">
        <v>109</v>
      </c>
    </row>
    <row r="110" spans="1:2">
      <c r="A110" s="4">
        <v>108</v>
      </c>
      <c r="B110" s="5" t="s">
        <v>110</v>
      </c>
    </row>
    <row r="111" spans="1:2">
      <c r="A111" s="4">
        <v>109</v>
      </c>
      <c r="B111" s="5" t="s">
        <v>111</v>
      </c>
    </row>
    <row r="112" spans="1:2">
      <c r="A112" s="4">
        <v>110</v>
      </c>
      <c r="B112" s="5" t="s">
        <v>112</v>
      </c>
    </row>
    <row r="113" spans="1:2">
      <c r="A113" s="4">
        <v>111</v>
      </c>
      <c r="B113" s="5" t="s">
        <v>113</v>
      </c>
    </row>
    <row r="114" spans="1:2">
      <c r="A114" s="4">
        <v>112</v>
      </c>
      <c r="B114" s="5" t="s">
        <v>114</v>
      </c>
    </row>
    <row r="115" spans="1:2">
      <c r="A115" s="4">
        <v>113</v>
      </c>
      <c r="B115" s="5" t="s">
        <v>115</v>
      </c>
    </row>
    <row r="116" spans="1:2">
      <c r="A116" s="4">
        <v>114</v>
      </c>
      <c r="B116" s="5" t="s">
        <v>116</v>
      </c>
    </row>
    <row r="117" spans="1:2">
      <c r="A117" s="4">
        <v>115</v>
      </c>
      <c r="B117" s="5" t="s">
        <v>117</v>
      </c>
    </row>
    <row r="118" spans="1:2">
      <c r="A118" s="4">
        <v>116</v>
      </c>
      <c r="B118" s="5" t="s">
        <v>118</v>
      </c>
    </row>
    <row r="119" spans="1:2">
      <c r="A119" s="4">
        <v>117</v>
      </c>
      <c r="B119" s="5" t="s">
        <v>119</v>
      </c>
    </row>
    <row r="120" spans="1:2">
      <c r="A120" s="4">
        <v>118</v>
      </c>
      <c r="B120" s="5" t="s">
        <v>120</v>
      </c>
    </row>
    <row r="121" spans="1:2">
      <c r="A121" s="4">
        <v>119</v>
      </c>
      <c r="B121" s="5" t="s">
        <v>121</v>
      </c>
    </row>
    <row r="122" spans="1:2">
      <c r="A122" s="4">
        <v>120</v>
      </c>
      <c r="B122" s="5" t="s">
        <v>122</v>
      </c>
    </row>
    <row r="123" spans="1:2">
      <c r="A123" s="4">
        <v>121</v>
      </c>
      <c r="B123" s="5" t="s">
        <v>123</v>
      </c>
    </row>
    <row r="124" spans="1:2">
      <c r="A124" s="4">
        <v>122</v>
      </c>
      <c r="B124" s="5" t="s">
        <v>124</v>
      </c>
    </row>
    <row r="125" spans="1:2">
      <c r="A125" s="4">
        <v>123</v>
      </c>
      <c r="B125" s="5" t="s">
        <v>125</v>
      </c>
    </row>
    <row r="126" spans="1:2">
      <c r="A126" s="4">
        <v>124</v>
      </c>
      <c r="B126" s="5" t="s">
        <v>126</v>
      </c>
    </row>
    <row r="127" spans="1:2">
      <c r="A127" s="4">
        <v>125</v>
      </c>
      <c r="B127" s="5" t="s">
        <v>127</v>
      </c>
    </row>
    <row r="128" spans="1:2">
      <c r="A128" s="4">
        <v>126</v>
      </c>
      <c r="B128" s="5" t="s">
        <v>128</v>
      </c>
    </row>
    <row r="129" spans="1:2">
      <c r="A129" s="4">
        <v>127</v>
      </c>
      <c r="B129" s="5" t="s">
        <v>129</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3CCDD-DB3D-438A-957A-3707D34A253B}">
  <sheetPr codeName="Sheet25"/>
  <dimension ref="A1:B6"/>
  <sheetViews>
    <sheetView workbookViewId="0"/>
  </sheetViews>
  <sheetFormatPr defaultRowHeight="13.5"/>
  <cols>
    <col min="1" max="1" width="5.5" bestFit="1" customWidth="1"/>
    <col min="2" max="2" width="11.625" bestFit="1" customWidth="1"/>
  </cols>
  <sheetData>
    <row r="1" spans="1:2">
      <c r="B1" t="s">
        <v>670</v>
      </c>
    </row>
    <row r="2" spans="1:2">
      <c r="A2" t="s">
        <v>671</v>
      </c>
      <c r="B2" t="s">
        <v>676</v>
      </c>
    </row>
    <row r="3" spans="1:2">
      <c r="A3" t="s">
        <v>672</v>
      </c>
      <c r="B3" t="s">
        <v>677</v>
      </c>
    </row>
    <row r="4" spans="1:2">
      <c r="A4" t="s">
        <v>673</v>
      </c>
      <c r="B4" t="s">
        <v>678</v>
      </c>
    </row>
    <row r="5" spans="1:2">
      <c r="A5" t="s">
        <v>674</v>
      </c>
      <c r="B5" t="s">
        <v>679</v>
      </c>
    </row>
    <row r="6" spans="1:2">
      <c r="A6" t="s">
        <v>675</v>
      </c>
      <c r="B6" t="s">
        <v>680</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01782F-F6DA-428E-BE51-DC29EA8BE350}">
  <sheetPr codeName="Sheet24"/>
  <dimension ref="A1:B8"/>
  <sheetViews>
    <sheetView workbookViewId="0"/>
  </sheetViews>
  <sheetFormatPr defaultRowHeight="13.5"/>
  <cols>
    <col min="1" max="1" width="5.5" bestFit="1" customWidth="1"/>
    <col min="2" max="2" width="18.375" bestFit="1" customWidth="1"/>
  </cols>
  <sheetData>
    <row r="1" spans="1:2">
      <c r="B1" t="s">
        <v>681</v>
      </c>
    </row>
    <row r="2" spans="1:2">
      <c r="A2" t="s">
        <v>695</v>
      </c>
      <c r="B2" t="s">
        <v>682</v>
      </c>
    </row>
    <row r="3" spans="1:2">
      <c r="A3" t="s">
        <v>689</v>
      </c>
      <c r="B3" t="s">
        <v>683</v>
      </c>
    </row>
    <row r="4" spans="1:2">
      <c r="A4" t="s">
        <v>690</v>
      </c>
      <c r="B4" t="s">
        <v>684</v>
      </c>
    </row>
    <row r="5" spans="1:2">
      <c r="A5" t="s">
        <v>691</v>
      </c>
      <c r="B5" t="s">
        <v>685</v>
      </c>
    </row>
    <row r="6" spans="1:2">
      <c r="A6" t="s">
        <v>692</v>
      </c>
      <c r="B6" t="s">
        <v>686</v>
      </c>
    </row>
    <row r="7" spans="1:2">
      <c r="A7" t="s">
        <v>693</v>
      </c>
      <c r="B7" t="s">
        <v>687</v>
      </c>
    </row>
    <row r="8" spans="1:2">
      <c r="A8" t="s">
        <v>694</v>
      </c>
      <c r="B8" t="s">
        <v>688</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95C6A2-1CCC-44F7-8D6F-6B8FB42A6175}">
  <sheetPr codeName="Sheet19"/>
  <dimension ref="A1:C9"/>
  <sheetViews>
    <sheetView workbookViewId="0">
      <pane ySplit="1" topLeftCell="A2" activePane="bottomLeft" state="frozen"/>
      <selection pane="bottomLeft" activeCell="A2" sqref="A2"/>
    </sheetView>
  </sheetViews>
  <sheetFormatPr defaultRowHeight="13.5"/>
  <cols>
    <col min="1" max="1" width="3" bestFit="1" customWidth="1"/>
    <col min="2" max="2" width="9.5" bestFit="1" customWidth="1"/>
    <col min="3" max="3" width="3" bestFit="1" customWidth="1"/>
  </cols>
  <sheetData>
    <row r="1" spans="1:3" s="6" customFormat="1" ht="51.75">
      <c r="A1" s="6" t="s">
        <v>575</v>
      </c>
      <c r="B1" s="8" t="s">
        <v>576</v>
      </c>
      <c r="C1" s="6" t="s">
        <v>1080</v>
      </c>
    </row>
    <row r="2" spans="1:3">
      <c r="A2">
        <v>1</v>
      </c>
      <c r="B2" t="s">
        <v>232</v>
      </c>
      <c r="C2">
        <v>1</v>
      </c>
    </row>
    <row r="3" spans="1:3">
      <c r="A3">
        <v>2</v>
      </c>
      <c r="B3" t="s">
        <v>233</v>
      </c>
      <c r="C3">
        <v>1</v>
      </c>
    </row>
    <row r="4" spans="1:3">
      <c r="A4">
        <v>3</v>
      </c>
      <c r="B4" t="s">
        <v>570</v>
      </c>
      <c r="C4">
        <v>1</v>
      </c>
    </row>
    <row r="5" spans="1:3">
      <c r="A5">
        <v>4</v>
      </c>
      <c r="B5" t="s">
        <v>571</v>
      </c>
      <c r="C5">
        <v>1</v>
      </c>
    </row>
    <row r="6" spans="1:3">
      <c r="A6">
        <v>5</v>
      </c>
      <c r="B6" t="s">
        <v>903</v>
      </c>
      <c r="C6">
        <v>1</v>
      </c>
    </row>
    <row r="7" spans="1:3">
      <c r="A7">
        <v>6</v>
      </c>
      <c r="B7" t="s">
        <v>572</v>
      </c>
      <c r="C7">
        <v>1</v>
      </c>
    </row>
    <row r="8" spans="1:3">
      <c r="A8">
        <v>7</v>
      </c>
      <c r="B8" t="s">
        <v>573</v>
      </c>
      <c r="C8">
        <v>1</v>
      </c>
    </row>
    <row r="9" spans="1:3">
      <c r="A9">
        <v>8</v>
      </c>
      <c r="B9" t="s">
        <v>574</v>
      </c>
      <c r="C9">
        <v>1</v>
      </c>
    </row>
  </sheetData>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06D29-8653-48AB-A17B-C8F91016A2FE}">
  <sheetPr codeName="Sheet1"/>
  <dimension ref="A1:E39"/>
  <sheetViews>
    <sheetView workbookViewId="0">
      <pane ySplit="1" topLeftCell="A2" activePane="bottomLeft" state="frozen"/>
      <selection pane="bottomLeft" activeCell="A2" sqref="A2"/>
    </sheetView>
  </sheetViews>
  <sheetFormatPr defaultRowHeight="13.5"/>
  <cols>
    <col min="1" max="1" width="7" style="7" bestFit="1" customWidth="1"/>
    <col min="2" max="3" width="31.625" bestFit="1" customWidth="1"/>
    <col min="4" max="4" width="7" bestFit="1" customWidth="1"/>
    <col min="5" max="5" width="9.5" bestFit="1" customWidth="1"/>
  </cols>
  <sheetData>
    <row r="1" spans="1:5" s="6" customFormat="1" ht="87.75">
      <c r="A1" s="6" t="s">
        <v>245</v>
      </c>
      <c r="B1" s="8" t="s">
        <v>246</v>
      </c>
      <c r="C1" s="8" t="s">
        <v>554</v>
      </c>
      <c r="D1" s="6" t="s">
        <v>575</v>
      </c>
      <c r="E1" s="8" t="s">
        <v>576</v>
      </c>
    </row>
    <row r="2" spans="1:5">
      <c r="A2" s="7">
        <v>1</v>
      </c>
      <c r="B2" t="s">
        <v>232</v>
      </c>
      <c r="C2" t="s">
        <v>232</v>
      </c>
      <c r="D2">
        <v>1</v>
      </c>
      <c r="E2" t="s">
        <v>231</v>
      </c>
    </row>
    <row r="3" spans="1:5">
      <c r="A3" s="7">
        <v>2</v>
      </c>
      <c r="B3" t="s">
        <v>930</v>
      </c>
      <c r="C3" t="s">
        <v>930</v>
      </c>
      <c r="D3">
        <v>1</v>
      </c>
      <c r="E3" t="s">
        <v>231</v>
      </c>
    </row>
    <row r="4" spans="1:5">
      <c r="A4" s="7">
        <v>3</v>
      </c>
      <c r="B4" t="s">
        <v>233</v>
      </c>
      <c r="C4" t="s">
        <v>233</v>
      </c>
      <c r="D4">
        <v>2</v>
      </c>
      <c r="E4" t="s">
        <v>561</v>
      </c>
    </row>
    <row r="5" spans="1:5">
      <c r="A5" s="7">
        <v>4</v>
      </c>
      <c r="B5" t="s">
        <v>1076</v>
      </c>
      <c r="C5" t="s">
        <v>1071</v>
      </c>
      <c r="D5">
        <v>2</v>
      </c>
      <c r="E5" t="s">
        <v>561</v>
      </c>
    </row>
    <row r="6" spans="1:5">
      <c r="A6" s="7">
        <v>5</v>
      </c>
      <c r="B6" t="s">
        <v>235</v>
      </c>
      <c r="C6" t="s">
        <v>235</v>
      </c>
      <c r="D6">
        <v>2</v>
      </c>
      <c r="E6" t="s">
        <v>561</v>
      </c>
    </row>
    <row r="7" spans="1:5">
      <c r="A7" s="7">
        <v>6</v>
      </c>
      <c r="B7" t="s">
        <v>1069</v>
      </c>
      <c r="C7" t="s">
        <v>1069</v>
      </c>
      <c r="D7">
        <v>2</v>
      </c>
      <c r="E7" t="s">
        <v>561</v>
      </c>
    </row>
    <row r="8" spans="1:5">
      <c r="A8" s="7">
        <v>7</v>
      </c>
      <c r="B8" t="s">
        <v>236</v>
      </c>
      <c r="C8" t="s">
        <v>236</v>
      </c>
      <c r="D8">
        <v>3</v>
      </c>
      <c r="E8" t="s">
        <v>729</v>
      </c>
    </row>
    <row r="9" spans="1:5">
      <c r="A9" s="7">
        <v>8</v>
      </c>
      <c r="B9" t="s">
        <v>570</v>
      </c>
      <c r="C9" t="s">
        <v>570</v>
      </c>
      <c r="D9">
        <v>3</v>
      </c>
      <c r="E9" t="s">
        <v>729</v>
      </c>
    </row>
    <row r="10" spans="1:5">
      <c r="A10" s="7">
        <v>9</v>
      </c>
      <c r="B10" t="s">
        <v>1082</v>
      </c>
      <c r="C10" t="s">
        <v>1082</v>
      </c>
      <c r="D10">
        <v>3</v>
      </c>
      <c r="E10" t="s">
        <v>729</v>
      </c>
    </row>
    <row r="11" spans="1:5">
      <c r="A11" s="7">
        <v>10</v>
      </c>
      <c r="B11" t="s">
        <v>1084</v>
      </c>
      <c r="C11" t="s">
        <v>1084</v>
      </c>
      <c r="D11">
        <v>3</v>
      </c>
      <c r="E11" t="s">
        <v>729</v>
      </c>
    </row>
    <row r="12" spans="1:5">
      <c r="A12" s="7">
        <v>11</v>
      </c>
      <c r="B12" t="s">
        <v>1086</v>
      </c>
      <c r="C12" t="s">
        <v>1086</v>
      </c>
      <c r="D12">
        <v>3</v>
      </c>
      <c r="E12" t="s">
        <v>729</v>
      </c>
    </row>
    <row r="13" spans="1:5">
      <c r="A13" s="7">
        <v>12</v>
      </c>
      <c r="B13" t="s">
        <v>237</v>
      </c>
      <c r="C13" t="s">
        <v>237</v>
      </c>
      <c r="D13">
        <v>4</v>
      </c>
      <c r="E13" t="s">
        <v>730</v>
      </c>
    </row>
    <row r="14" spans="1:5">
      <c r="A14" s="7">
        <v>13</v>
      </c>
      <c r="B14" t="s">
        <v>238</v>
      </c>
      <c r="C14" t="s">
        <v>238</v>
      </c>
      <c r="D14">
        <v>4</v>
      </c>
      <c r="E14" t="s">
        <v>730</v>
      </c>
    </row>
    <row r="15" spans="1:5">
      <c r="A15" s="7">
        <v>14</v>
      </c>
      <c r="B15" t="s">
        <v>986</v>
      </c>
      <c r="C15" t="s">
        <v>986</v>
      </c>
      <c r="D15">
        <v>5</v>
      </c>
      <c r="E15" t="s">
        <v>902</v>
      </c>
    </row>
    <row r="16" spans="1:5">
      <c r="A16" s="7">
        <v>15</v>
      </c>
      <c r="B16" t="s">
        <v>989</v>
      </c>
      <c r="C16" t="s">
        <v>989</v>
      </c>
      <c r="D16">
        <v>5</v>
      </c>
      <c r="E16" t="s">
        <v>902</v>
      </c>
    </row>
    <row r="17" spans="1:5">
      <c r="A17" s="7">
        <v>16</v>
      </c>
      <c r="B17" t="s">
        <v>992</v>
      </c>
      <c r="C17" t="s">
        <v>992</v>
      </c>
      <c r="D17">
        <v>5</v>
      </c>
      <c r="E17" t="s">
        <v>902</v>
      </c>
    </row>
    <row r="18" spans="1:5">
      <c r="A18" s="7">
        <v>17</v>
      </c>
      <c r="B18" t="s">
        <v>994</v>
      </c>
      <c r="C18" t="s">
        <v>994</v>
      </c>
      <c r="D18">
        <v>5</v>
      </c>
      <c r="E18" t="s">
        <v>902</v>
      </c>
    </row>
    <row r="19" spans="1:5">
      <c r="A19" s="7">
        <v>18</v>
      </c>
      <c r="B19" t="s">
        <v>560</v>
      </c>
      <c r="C19" t="s">
        <v>560</v>
      </c>
      <c r="D19">
        <v>6</v>
      </c>
      <c r="E19" t="s">
        <v>731</v>
      </c>
    </row>
    <row r="20" spans="1:5">
      <c r="A20" s="7">
        <v>19</v>
      </c>
      <c r="B20" t="s">
        <v>559</v>
      </c>
      <c r="C20" t="s">
        <v>559</v>
      </c>
      <c r="D20">
        <v>6</v>
      </c>
      <c r="E20" t="s">
        <v>731</v>
      </c>
    </row>
    <row r="21" spans="1:5">
      <c r="A21" s="7">
        <v>20</v>
      </c>
      <c r="B21" t="s">
        <v>239</v>
      </c>
      <c r="C21" t="s">
        <v>239</v>
      </c>
      <c r="D21">
        <v>6</v>
      </c>
      <c r="E21" t="s">
        <v>731</v>
      </c>
    </row>
    <row r="22" spans="1:5">
      <c r="A22" s="7">
        <v>21</v>
      </c>
      <c r="B22" t="s">
        <v>240</v>
      </c>
      <c r="C22" t="s">
        <v>240</v>
      </c>
      <c r="D22">
        <v>6</v>
      </c>
      <c r="E22" t="s">
        <v>731</v>
      </c>
    </row>
    <row r="23" spans="1:5">
      <c r="A23" s="7">
        <v>22</v>
      </c>
      <c r="B23" t="s">
        <v>241</v>
      </c>
      <c r="C23" t="s">
        <v>241</v>
      </c>
      <c r="D23">
        <v>7</v>
      </c>
      <c r="E23" t="s">
        <v>732</v>
      </c>
    </row>
    <row r="24" spans="1:5">
      <c r="A24" s="7">
        <v>23</v>
      </c>
      <c r="B24" t="s">
        <v>242</v>
      </c>
      <c r="C24" t="s">
        <v>242</v>
      </c>
      <c r="D24">
        <v>7</v>
      </c>
      <c r="E24" t="s">
        <v>732</v>
      </c>
    </row>
    <row r="25" spans="1:5">
      <c r="A25" s="7">
        <v>24</v>
      </c>
      <c r="B25" t="s">
        <v>243</v>
      </c>
      <c r="C25" t="s">
        <v>243</v>
      </c>
      <c r="D25">
        <v>8</v>
      </c>
      <c r="E25" t="s">
        <v>733</v>
      </c>
    </row>
    <row r="26" spans="1:5">
      <c r="A26" s="7">
        <v>25</v>
      </c>
      <c r="B26" t="s">
        <v>244</v>
      </c>
      <c r="C26" t="s">
        <v>244</v>
      </c>
      <c r="D26">
        <v>8</v>
      </c>
      <c r="E26" t="s">
        <v>733</v>
      </c>
    </row>
    <row r="27" spans="1:5">
      <c r="A27" s="7">
        <v>26</v>
      </c>
      <c r="B27" t="s">
        <v>904</v>
      </c>
      <c r="C27" t="s">
        <v>904</v>
      </c>
      <c r="D27">
        <v>8</v>
      </c>
      <c r="E27" t="s">
        <v>733</v>
      </c>
    </row>
    <row r="28" spans="1:5">
      <c r="A28" s="7">
        <v>27</v>
      </c>
      <c r="B28" t="s">
        <v>906</v>
      </c>
      <c r="C28" t="s">
        <v>906</v>
      </c>
      <c r="D28">
        <v>8</v>
      </c>
      <c r="E28" t="s">
        <v>733</v>
      </c>
    </row>
    <row r="29" spans="1:5">
      <c r="A29" s="7">
        <v>28</v>
      </c>
      <c r="B29" t="s">
        <v>907</v>
      </c>
      <c r="C29" t="s">
        <v>907</v>
      </c>
      <c r="D29">
        <v>8</v>
      </c>
      <c r="E29" t="s">
        <v>733</v>
      </c>
    </row>
    <row r="30" spans="1:5">
      <c r="A30" s="7">
        <v>29</v>
      </c>
      <c r="B30" t="s">
        <v>905</v>
      </c>
      <c r="C30" t="s">
        <v>905</v>
      </c>
      <c r="D30">
        <v>8</v>
      </c>
      <c r="E30" t="s">
        <v>733</v>
      </c>
    </row>
    <row r="31" spans="1:5">
      <c r="A31" s="7">
        <v>30</v>
      </c>
      <c r="B31" t="s">
        <v>908</v>
      </c>
      <c r="C31" t="s">
        <v>908</v>
      </c>
      <c r="D31">
        <v>8</v>
      </c>
      <c r="E31" t="s">
        <v>733</v>
      </c>
    </row>
    <row r="32" spans="1:5">
      <c r="A32" s="7">
        <v>31</v>
      </c>
      <c r="B32" t="s">
        <v>909</v>
      </c>
      <c r="C32" t="s">
        <v>909</v>
      </c>
      <c r="D32">
        <v>8</v>
      </c>
      <c r="E32" t="s">
        <v>733</v>
      </c>
    </row>
    <row r="33" spans="1:5">
      <c r="A33" s="7">
        <v>32</v>
      </c>
      <c r="B33" t="s">
        <v>937</v>
      </c>
      <c r="C33" t="s">
        <v>937</v>
      </c>
      <c r="D33">
        <v>8</v>
      </c>
      <c r="E33" t="s">
        <v>733</v>
      </c>
    </row>
    <row r="34" spans="1:5">
      <c r="A34" s="7">
        <v>33</v>
      </c>
      <c r="B34" t="s">
        <v>944</v>
      </c>
      <c r="C34" t="s">
        <v>944</v>
      </c>
      <c r="D34">
        <v>8</v>
      </c>
      <c r="E34" t="s">
        <v>733</v>
      </c>
    </row>
    <row r="35" spans="1:5">
      <c r="A35" s="7">
        <v>34</v>
      </c>
      <c r="B35" t="s">
        <v>950</v>
      </c>
      <c r="C35" t="s">
        <v>950</v>
      </c>
      <c r="D35">
        <v>8</v>
      </c>
      <c r="E35" t="s">
        <v>733</v>
      </c>
    </row>
    <row r="36" spans="1:5">
      <c r="A36" s="7">
        <v>35</v>
      </c>
      <c r="B36" t="s">
        <v>959</v>
      </c>
      <c r="C36" t="s">
        <v>959</v>
      </c>
      <c r="D36">
        <v>8</v>
      </c>
      <c r="E36" t="s">
        <v>733</v>
      </c>
    </row>
    <row r="37" spans="1:5">
      <c r="A37" s="7">
        <v>36</v>
      </c>
      <c r="B37" t="s">
        <v>965</v>
      </c>
      <c r="C37" t="s">
        <v>965</v>
      </c>
      <c r="D37">
        <v>8</v>
      </c>
      <c r="E37" t="s">
        <v>733</v>
      </c>
    </row>
    <row r="38" spans="1:5">
      <c r="A38" s="7">
        <v>37</v>
      </c>
      <c r="B38" t="s">
        <v>934</v>
      </c>
      <c r="C38" t="s">
        <v>934</v>
      </c>
      <c r="D38">
        <v>8</v>
      </c>
      <c r="E38" t="s">
        <v>733</v>
      </c>
    </row>
    <row r="39" spans="1:5">
      <c r="A39" s="7">
        <v>38</v>
      </c>
      <c r="B39" t="s">
        <v>1014</v>
      </c>
      <c r="C39" t="s">
        <v>1014</v>
      </c>
      <c r="D39">
        <v>8</v>
      </c>
      <c r="E39" t="s">
        <v>733</v>
      </c>
    </row>
  </sheetData>
  <autoFilter ref="A1:E39" xr:uid="{BC406D29-8653-48AB-A17B-C8F91016A2FE}"/>
  <sortState xmlns:xlrd2="http://schemas.microsoft.com/office/spreadsheetml/2017/richdata2" ref="A2:E39">
    <sortCondition ref="A2:A39"/>
  </sortState>
  <phoneticPr fontId="1"/>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50D5FF26-7ACD-472E-9D62-CCD2010EA5C7}">
          <x14:formula1>
            <xm:f>_Kit!$B$2:$B$9</xm:f>
          </x14:formula1>
          <xm:sqref>E25 E26 E27 E28 E29 E30 E31 E32 E33 E34 E35 E36 E37 E38 E2 E3 E4 E5 E6 E7 E8 E9 E10 E11 E12 E13 E14 E15 E16 E17 E18 E19 E20 E21 E22 E23 E24 E39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F9C46-B8F0-4D95-9B18-A92B5BA16BE3}">
  <sheetPr codeName="Sheet2"/>
  <dimension ref="A1:N158"/>
  <sheetViews>
    <sheetView workbookViewId="0">
      <pane ySplit="1" topLeftCell="A2" activePane="bottomLeft" state="frozen"/>
      <selection pane="bottomLeft" activeCell="A2" sqref="A2"/>
    </sheetView>
  </sheetViews>
  <sheetFormatPr defaultRowHeight="13.5"/>
  <cols>
    <col min="1" max="1" width="7" style="1" bestFit="1" customWidth="1"/>
    <col min="2" max="3" width="25" style="2" bestFit="1" customWidth="1"/>
    <col min="4" max="4" width="7" style="2" bestFit="1" customWidth="1"/>
    <col min="5" max="5" width="9.5" style="2" bestFit="1" customWidth="1"/>
    <col min="6" max="9" width="7" style="2" bestFit="1" customWidth="1"/>
    <col min="10" max="10" width="7" style="1" bestFit="1" customWidth="1"/>
    <col min="11" max="11" width="25" style="1" bestFit="1" customWidth="1"/>
    <col min="12" max="12" width="7" style="1" bestFit="1" customWidth="1"/>
    <col min="13" max="13" width="9.5" style="2" bestFit="1" customWidth="1"/>
    <col min="14" max="14" width="20.5" style="2" bestFit="1" customWidth="1"/>
    <col min="15" max="16384" width="9" style="2"/>
  </cols>
  <sheetData>
    <row r="1" spans="1:14" s="18" customFormat="1" ht="87.75">
      <c r="A1" s="18" t="s">
        <v>614</v>
      </c>
      <c r="B1" s="8" t="s">
        <v>131</v>
      </c>
      <c r="C1" s="8" t="s">
        <v>554</v>
      </c>
      <c r="D1" s="18" t="s">
        <v>230</v>
      </c>
      <c r="E1" s="13" t="s">
        <v>226</v>
      </c>
      <c r="F1" s="13" t="s">
        <v>227</v>
      </c>
      <c r="G1" s="13" t="s">
        <v>228</v>
      </c>
      <c r="H1" s="13" t="s">
        <v>229</v>
      </c>
      <c r="I1" s="8" t="s">
        <v>1015</v>
      </c>
      <c r="J1" s="19" t="s">
        <v>245</v>
      </c>
      <c r="K1" s="12" t="s">
        <v>246</v>
      </c>
      <c r="L1" s="19" t="s">
        <v>575</v>
      </c>
      <c r="M1" s="12" t="s">
        <v>576</v>
      </c>
      <c r="N1" s="20" t="s">
        <v>1012</v>
      </c>
    </row>
    <row r="2" spans="1:14">
      <c r="A2" s="1">
        <v>1</v>
      </c>
      <c r="B2" s="2" t="s">
        <v>133</v>
      </c>
      <c r="C2" s="2" t="s">
        <v>1017</v>
      </c>
      <c r="D2" s="2">
        <v>140</v>
      </c>
      <c r="E2" s="2" t="s">
        <v>134</v>
      </c>
      <c r="F2" s="2">
        <v>65</v>
      </c>
      <c r="J2" s="1">
        <v>1</v>
      </c>
      <c r="K2" s="2" t="s">
        <v>231</v>
      </c>
      <c r="L2" s="1">
        <f>VLOOKUP($J2,'_Kit Piece'!$A$2:$E$39, 4, FALSE)</f>
        <v>1</v>
      </c>
      <c r="M2" s="2" t="str">
        <f>VLOOKUP($L2,_Kit!$A$2:$B$9, 2, FALSE)</f>
        <v>Kick</v>
      </c>
    </row>
    <row r="3" spans="1:14">
      <c r="A3" s="1">
        <v>2</v>
      </c>
      <c r="B3" s="2" t="s">
        <v>135</v>
      </c>
      <c r="C3" s="2" t="s">
        <v>1018</v>
      </c>
      <c r="D3" s="2">
        <v>141</v>
      </c>
      <c r="E3" s="2" t="s">
        <v>134</v>
      </c>
      <c r="F3" s="2">
        <v>64</v>
      </c>
      <c r="J3" s="1">
        <v>1</v>
      </c>
      <c r="K3" s="2" t="s">
        <v>231</v>
      </c>
      <c r="L3" s="1">
        <f>VLOOKUP($J3,'_Kit Piece'!$A$2:$E$39, 4, FALSE)</f>
        <v>1</v>
      </c>
      <c r="M3" s="2" t="str">
        <f>VLOOKUP($L3,_Kit!$A$2:$B$9, 2, FALSE)</f>
        <v>Kick</v>
      </c>
    </row>
    <row r="4" spans="1:14">
      <c r="A4" s="1">
        <v>3</v>
      </c>
      <c r="B4" s="2" t="s">
        <v>930</v>
      </c>
      <c r="D4" s="2">
        <v>142</v>
      </c>
      <c r="E4" s="2" t="s">
        <v>134</v>
      </c>
      <c r="F4" s="2">
        <v>64</v>
      </c>
      <c r="J4" s="1">
        <v>2</v>
      </c>
      <c r="K4" s="2" t="s">
        <v>929</v>
      </c>
      <c r="L4" s="1">
        <f>VLOOKUP($J4,'_Kit Piece'!$A$2:$E$39, 4, FALSE)</f>
        <v>1</v>
      </c>
      <c r="M4" s="2" t="str">
        <f>VLOOKUP($L4,_Kit!$A$2:$B$9, 2, FALSE)</f>
        <v>Kick</v>
      </c>
      <c r="N4" s="2" t="s">
        <v>133</v>
      </c>
    </row>
    <row r="5" spans="1:14">
      <c r="A5" s="1">
        <v>4</v>
      </c>
      <c r="B5" s="2" t="s">
        <v>233</v>
      </c>
      <c r="D5" s="2">
        <v>139</v>
      </c>
      <c r="E5" s="2" t="s">
        <v>137</v>
      </c>
      <c r="F5" s="2">
        <v>72</v>
      </c>
      <c r="J5" s="1">
        <v>3</v>
      </c>
      <c r="K5" s="2" t="s">
        <v>561</v>
      </c>
      <c r="L5" s="1">
        <f>VLOOKUP($J5,'_Kit Piece'!$A$2:$E$39, 4, FALSE)</f>
        <v>2</v>
      </c>
      <c r="M5" s="2" t="str">
        <f>VLOOKUP($L5,_Kit!$A$2:$B$9, 2, FALSE)</f>
        <v>Snare</v>
      </c>
    </row>
    <row r="6" spans="1:14">
      <c r="A6" s="1">
        <v>5</v>
      </c>
      <c r="B6" s="2" t="s">
        <v>563</v>
      </c>
      <c r="C6" s="2" t="s">
        <v>1019</v>
      </c>
      <c r="D6" s="2">
        <v>147</v>
      </c>
      <c r="E6" s="2" t="s">
        <v>137</v>
      </c>
      <c r="F6" s="2">
        <v>72</v>
      </c>
      <c r="J6" s="1">
        <v>3</v>
      </c>
      <c r="K6" s="2" t="s">
        <v>561</v>
      </c>
      <c r="L6" s="1">
        <f>VLOOKUP($J6,'_Kit Piece'!$A$2:$E$39, 4, FALSE)</f>
        <v>2</v>
      </c>
      <c r="M6" s="2" t="str">
        <f>VLOOKUP($L6,_Kit!$A$2:$B$9, 2, FALSE)</f>
        <v>Snare</v>
      </c>
    </row>
    <row r="7" spans="1:14">
      <c r="A7" s="1">
        <v>6</v>
      </c>
      <c r="B7" s="2" t="s">
        <v>615</v>
      </c>
      <c r="C7" s="2" t="s">
        <v>1020</v>
      </c>
      <c r="D7" s="2">
        <v>137</v>
      </c>
      <c r="E7" s="2" t="s">
        <v>137</v>
      </c>
      <c r="F7" s="2">
        <v>72</v>
      </c>
      <c r="J7" s="1">
        <v>3</v>
      </c>
      <c r="K7" s="2" t="s">
        <v>561</v>
      </c>
      <c r="L7" s="1">
        <f>VLOOKUP($J7,'_Kit Piece'!$A$2:$E$39, 4, FALSE)</f>
        <v>2</v>
      </c>
      <c r="M7" s="2" t="str">
        <f>VLOOKUP($L7,_Kit!$A$2:$B$9, 2, FALSE)</f>
        <v>Snare</v>
      </c>
    </row>
    <row r="8" spans="1:14">
      <c r="A8" s="1">
        <v>7</v>
      </c>
      <c r="B8" s="2" t="s">
        <v>616</v>
      </c>
      <c r="C8" s="2" t="s">
        <v>1021</v>
      </c>
      <c r="D8" s="2">
        <v>138</v>
      </c>
      <c r="E8" s="2" t="s">
        <v>137</v>
      </c>
      <c r="F8" s="2">
        <v>72</v>
      </c>
      <c r="J8" s="1">
        <v>3</v>
      </c>
      <c r="K8" s="2" t="s">
        <v>561</v>
      </c>
      <c r="L8" s="1">
        <f>VLOOKUP($J8,'_Kit Piece'!$A$2:$E$39, 4, FALSE)</f>
        <v>2</v>
      </c>
      <c r="M8" s="2" t="str">
        <f>VLOOKUP($L8,_Kit!$A$2:$B$9, 2, FALSE)</f>
        <v>Snare</v>
      </c>
    </row>
    <row r="9" spans="1:14">
      <c r="A9" s="1">
        <v>8</v>
      </c>
      <c r="B9" s="2" t="s">
        <v>140</v>
      </c>
      <c r="C9" s="2" t="s">
        <v>1022</v>
      </c>
      <c r="D9" s="2">
        <v>148</v>
      </c>
      <c r="E9" s="2" t="s">
        <v>137</v>
      </c>
      <c r="F9" s="2">
        <v>72</v>
      </c>
      <c r="J9" s="1">
        <v>3</v>
      </c>
      <c r="K9" s="2" t="s">
        <v>561</v>
      </c>
      <c r="L9" s="1">
        <f>VLOOKUP($J9,'_Kit Piece'!$A$2:$E$39, 4, FALSE)</f>
        <v>2</v>
      </c>
      <c r="M9" s="2" t="str">
        <f>VLOOKUP($L9,_Kit!$A$2:$B$9, 2, FALSE)</f>
        <v>Snare</v>
      </c>
    </row>
    <row r="10" spans="1:14">
      <c r="A10" s="1">
        <v>9</v>
      </c>
      <c r="B10" s="2" t="s">
        <v>566</v>
      </c>
      <c r="C10" s="2" t="s">
        <v>1023</v>
      </c>
      <c r="D10" s="2">
        <v>149</v>
      </c>
      <c r="E10" s="2" t="s">
        <v>137</v>
      </c>
      <c r="F10" s="2">
        <v>72</v>
      </c>
      <c r="J10" s="1">
        <v>3</v>
      </c>
      <c r="K10" s="2" t="s">
        <v>561</v>
      </c>
      <c r="L10" s="1">
        <f>VLOOKUP($J10,'_Kit Piece'!$A$2:$E$39, 4, FALSE)</f>
        <v>2</v>
      </c>
      <c r="M10" s="2" t="str">
        <f>VLOOKUP($L10,_Kit!$A$2:$B$9, 2, FALSE)</f>
        <v>Snare</v>
      </c>
    </row>
    <row r="11" spans="1:14">
      <c r="A11" s="1">
        <v>10</v>
      </c>
      <c r="B11" s="2" t="s">
        <v>797</v>
      </c>
      <c r="C11" s="2" t="s">
        <v>1024</v>
      </c>
      <c r="D11" s="2">
        <v>150</v>
      </c>
      <c r="E11" s="2" t="s">
        <v>137</v>
      </c>
      <c r="F11" s="2">
        <v>72</v>
      </c>
      <c r="J11" s="1">
        <v>3</v>
      </c>
      <c r="K11" s="2" t="s">
        <v>561</v>
      </c>
      <c r="L11" s="1">
        <f>VLOOKUP($J11,'_Kit Piece'!$A$2:$E$39, 4, FALSE)</f>
        <v>2</v>
      </c>
      <c r="M11" s="2" t="str">
        <f>VLOOKUP($L11,_Kit!$A$2:$B$9, 2, FALSE)</f>
        <v>Snare</v>
      </c>
    </row>
    <row r="12" spans="1:14">
      <c r="A12" s="1">
        <v>11</v>
      </c>
      <c r="B12" s="2" t="s">
        <v>564</v>
      </c>
      <c r="C12" s="2" t="s">
        <v>1029</v>
      </c>
      <c r="D12" s="2">
        <v>134</v>
      </c>
      <c r="E12" s="2" t="s">
        <v>137</v>
      </c>
      <c r="F12" s="2">
        <v>72</v>
      </c>
      <c r="J12" s="1">
        <v>3</v>
      </c>
      <c r="K12" s="2" t="s">
        <v>561</v>
      </c>
      <c r="L12" s="1">
        <f>VLOOKUP($J12,'_Kit Piece'!$A$2:$E$39, 4, FALSE)</f>
        <v>2</v>
      </c>
      <c r="M12" s="2" t="str">
        <f>VLOOKUP($L12,_Kit!$A$2:$B$9, 2, FALSE)</f>
        <v>Snare</v>
      </c>
    </row>
    <row r="13" spans="1:14">
      <c r="A13" s="1">
        <v>12</v>
      </c>
      <c r="B13" s="2" t="s">
        <v>643</v>
      </c>
      <c r="C13" s="2" t="s">
        <v>1030</v>
      </c>
      <c r="D13" s="2">
        <v>135</v>
      </c>
      <c r="E13" s="2" t="s">
        <v>137</v>
      </c>
      <c r="F13" s="2">
        <v>72</v>
      </c>
      <c r="J13" s="1">
        <v>3</v>
      </c>
      <c r="K13" s="2" t="s">
        <v>561</v>
      </c>
      <c r="L13" s="1">
        <f>VLOOKUP($J13,'_Kit Piece'!$A$2:$E$39, 4, FALSE)</f>
        <v>2</v>
      </c>
      <c r="M13" s="2" t="str">
        <f>VLOOKUP($L13,_Kit!$A$2:$B$9, 2, FALSE)</f>
        <v>Snare</v>
      </c>
    </row>
    <row r="14" spans="1:14">
      <c r="A14" s="1">
        <v>13</v>
      </c>
      <c r="B14" s="2" t="s">
        <v>645</v>
      </c>
      <c r="C14" s="2" t="s">
        <v>1031</v>
      </c>
      <c r="D14" s="2">
        <v>136</v>
      </c>
      <c r="E14" s="2" t="s">
        <v>137</v>
      </c>
      <c r="F14" s="2">
        <v>72</v>
      </c>
      <c r="J14" s="1">
        <v>3</v>
      </c>
      <c r="K14" s="2" t="s">
        <v>561</v>
      </c>
      <c r="L14" s="1">
        <f>VLOOKUP($J14,'_Kit Piece'!$A$2:$E$39, 4, FALSE)</f>
        <v>2</v>
      </c>
      <c r="M14" s="2" t="str">
        <f>VLOOKUP($L14,_Kit!$A$2:$B$9, 2, FALSE)</f>
        <v>Snare</v>
      </c>
    </row>
    <row r="15" spans="1:14">
      <c r="A15" s="1">
        <v>14</v>
      </c>
      <c r="B15" s="2" t="s">
        <v>139</v>
      </c>
      <c r="C15" s="2" t="s">
        <v>1025</v>
      </c>
      <c r="D15" s="2">
        <v>146</v>
      </c>
      <c r="E15" s="2" t="s">
        <v>137</v>
      </c>
      <c r="F15" s="2">
        <v>72</v>
      </c>
      <c r="J15" s="1">
        <v>3</v>
      </c>
      <c r="K15" s="2" t="s">
        <v>561</v>
      </c>
      <c r="L15" s="1">
        <f>VLOOKUP($J15,'_Kit Piece'!$A$2:$E$39, 4, FALSE)</f>
        <v>2</v>
      </c>
      <c r="M15" s="2" t="str">
        <f>VLOOKUP($L15,_Kit!$A$2:$B$9, 2, FALSE)</f>
        <v>Snare</v>
      </c>
    </row>
    <row r="16" spans="1:14">
      <c r="A16" s="1">
        <v>15</v>
      </c>
      <c r="B16" s="2" t="s">
        <v>641</v>
      </c>
      <c r="C16" s="2" t="s">
        <v>1035</v>
      </c>
      <c r="D16" s="2">
        <v>151</v>
      </c>
      <c r="E16" s="2" t="s">
        <v>137</v>
      </c>
      <c r="F16" s="2">
        <v>72</v>
      </c>
      <c r="J16" s="1">
        <v>3</v>
      </c>
      <c r="K16" s="2" t="s">
        <v>561</v>
      </c>
      <c r="L16" s="1">
        <f>VLOOKUP($J16,'_Kit Piece'!$A$2:$E$39, 4, FALSE)</f>
        <v>2</v>
      </c>
      <c r="M16" s="2" t="str">
        <f>VLOOKUP($L16,_Kit!$A$2:$B$9, 2, FALSE)</f>
        <v>Snare</v>
      </c>
    </row>
    <row r="17" spans="1:14">
      <c r="A17" s="1">
        <v>16</v>
      </c>
      <c r="B17" s="2" t="s">
        <v>234</v>
      </c>
      <c r="C17" s="2" t="s">
        <v>1074</v>
      </c>
      <c r="D17" s="2">
        <v>130</v>
      </c>
      <c r="E17" s="2" t="s">
        <v>142</v>
      </c>
      <c r="F17" s="2">
        <v>72</v>
      </c>
      <c r="G17" s="2" t="s">
        <v>143</v>
      </c>
      <c r="J17" s="1">
        <v>4</v>
      </c>
      <c r="K17" s="2" t="s">
        <v>1071</v>
      </c>
      <c r="L17" s="1">
        <f>VLOOKUP($J17,'_Kit Piece'!$A$2:$E$39, 4, FALSE)</f>
        <v>2</v>
      </c>
      <c r="M17" s="2" t="str">
        <f>VLOOKUP($L17,_Kit!$A$2:$B$9, 2, FALSE)</f>
        <v>Snare</v>
      </c>
    </row>
    <row r="18" spans="1:14">
      <c r="A18" s="1">
        <v>17</v>
      </c>
      <c r="B18" s="2" t="s">
        <v>617</v>
      </c>
      <c r="C18" s="2" t="s">
        <v>1027</v>
      </c>
      <c r="D18" s="2">
        <v>132</v>
      </c>
      <c r="E18" s="2" t="s">
        <v>142</v>
      </c>
      <c r="F18" s="2">
        <v>72</v>
      </c>
      <c r="G18" s="2" t="s">
        <v>143</v>
      </c>
      <c r="J18" s="1">
        <v>4</v>
      </c>
      <c r="K18" s="2" t="s">
        <v>1071</v>
      </c>
      <c r="L18" s="1">
        <f>VLOOKUP($J18,'_Kit Piece'!$A$2:$E$39, 4, FALSE)</f>
        <v>2</v>
      </c>
      <c r="M18" s="2" t="str">
        <f>VLOOKUP($L18,_Kit!$A$2:$B$9, 2, FALSE)</f>
        <v>Snare</v>
      </c>
    </row>
    <row r="19" spans="1:14">
      <c r="A19" s="1">
        <v>18</v>
      </c>
      <c r="B19" s="2" t="s">
        <v>618</v>
      </c>
      <c r="C19" s="2" t="s">
        <v>1028</v>
      </c>
      <c r="D19" s="2">
        <v>133</v>
      </c>
      <c r="E19" s="2" t="s">
        <v>142</v>
      </c>
      <c r="F19" s="2">
        <v>72</v>
      </c>
      <c r="G19" s="2" t="s">
        <v>143</v>
      </c>
      <c r="J19" s="1">
        <v>4</v>
      </c>
      <c r="K19" s="2" t="s">
        <v>1071</v>
      </c>
      <c r="L19" s="1">
        <f>VLOOKUP($J19,'_Kit Piece'!$A$2:$E$39, 4, FALSE)</f>
        <v>2</v>
      </c>
      <c r="M19" s="2" t="str">
        <f>VLOOKUP($L19,_Kit!$A$2:$B$9, 2, FALSE)</f>
        <v>Snare</v>
      </c>
    </row>
    <row r="20" spans="1:14">
      <c r="A20" s="1">
        <v>19</v>
      </c>
      <c r="B20" s="2" t="s">
        <v>647</v>
      </c>
      <c r="C20" s="2" t="s">
        <v>1070</v>
      </c>
      <c r="D20" s="2">
        <v>131</v>
      </c>
      <c r="E20" s="2" t="s">
        <v>142</v>
      </c>
      <c r="F20" s="2">
        <v>72</v>
      </c>
      <c r="G20" s="2" t="s">
        <v>143</v>
      </c>
      <c r="J20" s="1">
        <v>4</v>
      </c>
      <c r="K20" s="2" t="s">
        <v>1071</v>
      </c>
      <c r="L20" s="1">
        <f>VLOOKUP($J20,'_Kit Piece'!$A$2:$E$39, 4, FALSE)</f>
        <v>2</v>
      </c>
      <c r="M20" s="2" t="str">
        <f>VLOOKUP($L20,_Kit!$A$2:$B$9, 2, FALSE)</f>
        <v>Snare</v>
      </c>
    </row>
    <row r="21" spans="1:14">
      <c r="A21" s="1">
        <v>20</v>
      </c>
      <c r="B21" s="2" t="s">
        <v>144</v>
      </c>
      <c r="C21" s="2" t="s">
        <v>1075</v>
      </c>
      <c r="D21" s="2">
        <v>152</v>
      </c>
      <c r="E21" s="2" t="s">
        <v>142</v>
      </c>
      <c r="F21" s="2">
        <v>72</v>
      </c>
      <c r="G21" s="2" t="s">
        <v>143</v>
      </c>
      <c r="J21" s="1">
        <v>4</v>
      </c>
      <c r="K21" s="2" t="s">
        <v>1071</v>
      </c>
      <c r="L21" s="1">
        <f>VLOOKUP($J21,'_Kit Piece'!$A$2:$E$39, 4, FALSE)</f>
        <v>2</v>
      </c>
      <c r="M21" s="2" t="str">
        <f>VLOOKUP($L21,_Kit!$A$2:$B$9, 2, FALSE)</f>
        <v>Snare</v>
      </c>
    </row>
    <row r="22" spans="1:14">
      <c r="A22" s="1">
        <v>21</v>
      </c>
      <c r="B22" s="2" t="s">
        <v>1069</v>
      </c>
      <c r="D22" s="2">
        <v>153</v>
      </c>
      <c r="E22" s="2" t="s">
        <v>142</v>
      </c>
      <c r="F22" s="2">
        <v>72</v>
      </c>
      <c r="G22" s="2" t="s">
        <v>143</v>
      </c>
      <c r="J22" s="1">
        <v>6</v>
      </c>
      <c r="K22" s="2" t="s">
        <v>330</v>
      </c>
      <c r="L22" s="1">
        <f>VLOOKUP($J22,'_Kit Piece'!$A$2:$E$39, 4, FALSE)</f>
        <v>2</v>
      </c>
      <c r="M22" s="2" t="str">
        <f>VLOOKUP($L22,_Kit!$A$2:$B$9, 2, FALSE)</f>
        <v>Snare</v>
      </c>
      <c r="N22" s="2" t="s">
        <v>144</v>
      </c>
    </row>
    <row r="23" spans="1:14">
      <c r="A23" s="1">
        <v>22</v>
      </c>
      <c r="B23" s="2" t="s">
        <v>145</v>
      </c>
      <c r="C23" s="2" t="s">
        <v>701</v>
      </c>
      <c r="D23" s="2">
        <v>129</v>
      </c>
      <c r="E23" s="2" t="s">
        <v>146</v>
      </c>
      <c r="F23" s="2">
        <v>72</v>
      </c>
      <c r="G23" s="2" t="s">
        <v>147</v>
      </c>
      <c r="J23" s="1">
        <v>5</v>
      </c>
      <c r="K23" s="2" t="s">
        <v>145</v>
      </c>
      <c r="L23" s="1">
        <f>VLOOKUP($J23,'_Kit Piece'!$A$2:$E$39, 4, FALSE)</f>
        <v>2</v>
      </c>
      <c r="M23" s="2" t="str">
        <f>VLOOKUP($L23,_Kit!$A$2:$B$9, 2, FALSE)</f>
        <v>Snare</v>
      </c>
    </row>
    <row r="24" spans="1:14">
      <c r="A24" s="1">
        <v>23</v>
      </c>
      <c r="B24" s="2" t="s">
        <v>1068</v>
      </c>
      <c r="C24" s="2" t="s">
        <v>1037</v>
      </c>
      <c r="D24" s="2">
        <v>128</v>
      </c>
      <c r="E24" s="2" t="s">
        <v>148</v>
      </c>
      <c r="F24" s="2">
        <v>65</v>
      </c>
      <c r="G24" s="2" t="s">
        <v>147</v>
      </c>
      <c r="J24" s="1">
        <v>7</v>
      </c>
      <c r="K24" s="2" t="s">
        <v>734</v>
      </c>
      <c r="L24" s="1">
        <f>VLOOKUP($J24,'_Kit Piece'!$A$2:$E$39, 4, FALSE)</f>
        <v>3</v>
      </c>
      <c r="M24" s="2" t="str">
        <f>VLOOKUP($L24,_Kit!$A$2:$B$9, 2, FALSE)</f>
        <v>Hi-Hat</v>
      </c>
    </row>
    <row r="25" spans="1:14">
      <c r="A25" s="1">
        <v>24</v>
      </c>
      <c r="B25" s="2" t="s">
        <v>403</v>
      </c>
      <c r="C25" s="2" t="s">
        <v>1038</v>
      </c>
      <c r="D25" s="2">
        <v>144</v>
      </c>
      <c r="E25" s="2" t="s">
        <v>148</v>
      </c>
      <c r="F25" s="2">
        <v>65</v>
      </c>
      <c r="G25" s="2" t="s">
        <v>147</v>
      </c>
      <c r="J25" s="1">
        <v>7</v>
      </c>
      <c r="K25" s="2" t="s">
        <v>734</v>
      </c>
      <c r="L25" s="1">
        <f>VLOOKUP($J25,'_Kit Piece'!$A$2:$E$39, 4, FALSE)</f>
        <v>3</v>
      </c>
      <c r="M25" s="2" t="str">
        <f>VLOOKUP($L25,_Kit!$A$2:$B$9, 2, FALSE)</f>
        <v>Hi-Hat</v>
      </c>
      <c r="N25" s="2" t="s">
        <v>1068</v>
      </c>
    </row>
    <row r="26" spans="1:14">
      <c r="A26" s="1">
        <v>25</v>
      </c>
      <c r="B26" s="2" t="s">
        <v>795</v>
      </c>
      <c r="C26" s="2" t="s">
        <v>1039</v>
      </c>
      <c r="D26" s="2">
        <v>145</v>
      </c>
      <c r="E26" s="2" t="s">
        <v>148</v>
      </c>
      <c r="F26" s="2">
        <v>65</v>
      </c>
      <c r="G26" s="2" t="s">
        <v>147</v>
      </c>
      <c r="J26" s="1">
        <v>7</v>
      </c>
      <c r="K26" s="2" t="s">
        <v>734</v>
      </c>
      <c r="L26" s="1">
        <f>VLOOKUP($J26,'_Kit Piece'!$A$2:$E$39, 4, FALSE)</f>
        <v>3</v>
      </c>
      <c r="M26" s="2" t="str">
        <f>VLOOKUP($L26,_Kit!$A$2:$B$9, 2, FALSE)</f>
        <v>Hi-Hat</v>
      </c>
      <c r="N26" s="2" t="s">
        <v>403</v>
      </c>
    </row>
    <row r="27" spans="1:14">
      <c r="A27" s="1">
        <v>26</v>
      </c>
      <c r="B27" s="2" t="s">
        <v>149</v>
      </c>
      <c r="C27" s="2" t="s">
        <v>1040</v>
      </c>
      <c r="D27" s="2">
        <v>125</v>
      </c>
      <c r="E27" s="2" t="s">
        <v>150</v>
      </c>
      <c r="F27" s="2">
        <v>79</v>
      </c>
      <c r="G27" s="2" t="s">
        <v>147</v>
      </c>
      <c r="J27" s="1">
        <v>8</v>
      </c>
      <c r="K27" s="2" t="s">
        <v>729</v>
      </c>
      <c r="L27" s="1">
        <f>VLOOKUP($J27,'_Kit Piece'!$A$2:$E$39, 4, FALSE)</f>
        <v>3</v>
      </c>
      <c r="M27" s="2" t="str">
        <f>VLOOKUP($L27,_Kit!$A$2:$B$9, 2, FALSE)</f>
        <v>Hi-Hat</v>
      </c>
    </row>
    <row r="28" spans="1:14">
      <c r="A28" s="1">
        <v>27</v>
      </c>
      <c r="B28" s="2" t="s">
        <v>628</v>
      </c>
      <c r="C28" s="2" t="s">
        <v>1041</v>
      </c>
      <c r="D28" s="2">
        <v>126</v>
      </c>
      <c r="E28" s="2" t="s">
        <v>150</v>
      </c>
      <c r="F28" s="2">
        <v>79</v>
      </c>
      <c r="G28" s="2" t="s">
        <v>147</v>
      </c>
      <c r="J28" s="1">
        <v>8</v>
      </c>
      <c r="K28" s="2" t="s">
        <v>729</v>
      </c>
      <c r="L28" s="1">
        <f>VLOOKUP($J28,'_Kit Piece'!$A$2:$E$39, 4, FALSE)</f>
        <v>3</v>
      </c>
      <c r="M28" s="2" t="str">
        <f>VLOOKUP($L28,_Kit!$A$2:$B$9, 2, FALSE)</f>
        <v>Hi-Hat</v>
      </c>
    </row>
    <row r="29" spans="1:14">
      <c r="A29" s="1">
        <v>28</v>
      </c>
      <c r="B29" s="2" t="s">
        <v>630</v>
      </c>
      <c r="C29" s="2" t="s">
        <v>1042</v>
      </c>
      <c r="D29" s="2">
        <v>127</v>
      </c>
      <c r="E29" s="2" t="s">
        <v>150</v>
      </c>
      <c r="F29" s="2">
        <v>79</v>
      </c>
      <c r="G29" s="2" t="s">
        <v>147</v>
      </c>
      <c r="J29" s="1">
        <v>8</v>
      </c>
      <c r="K29" s="2" t="s">
        <v>729</v>
      </c>
      <c r="L29" s="1">
        <f>VLOOKUP($J29,'_Kit Piece'!$A$2:$E$39, 4, FALSE)</f>
        <v>3</v>
      </c>
      <c r="M29" s="2" t="str">
        <f>VLOOKUP($L29,_Kit!$A$2:$B$9, 2, FALSE)</f>
        <v>Hi-Hat</v>
      </c>
    </row>
    <row r="30" spans="1:14">
      <c r="A30" s="1">
        <v>29</v>
      </c>
      <c r="B30" s="2" t="s">
        <v>151</v>
      </c>
      <c r="C30" s="2" t="s">
        <v>1043</v>
      </c>
      <c r="D30" s="2">
        <v>124</v>
      </c>
      <c r="E30" s="2" t="s">
        <v>150</v>
      </c>
      <c r="F30" s="2">
        <v>79</v>
      </c>
      <c r="G30" s="2" t="s">
        <v>147</v>
      </c>
      <c r="J30" s="1">
        <v>8</v>
      </c>
      <c r="K30" s="2" t="s">
        <v>729</v>
      </c>
      <c r="L30" s="1">
        <f>VLOOKUP($J30,'_Kit Piece'!$A$2:$E$39, 4, FALSE)</f>
        <v>3</v>
      </c>
      <c r="M30" s="2" t="str">
        <f>VLOOKUP($L30,_Kit!$A$2:$B$9, 2, FALSE)</f>
        <v>Hi-Hat</v>
      </c>
    </row>
    <row r="31" spans="1:14">
      <c r="A31" s="1">
        <v>30</v>
      </c>
      <c r="B31" s="2" t="s">
        <v>153</v>
      </c>
      <c r="C31" s="2" t="s">
        <v>1044</v>
      </c>
      <c r="D31" s="2">
        <v>121</v>
      </c>
      <c r="E31" s="2" t="s">
        <v>150</v>
      </c>
      <c r="F31" s="2">
        <v>79</v>
      </c>
      <c r="G31" s="2" t="s">
        <v>147</v>
      </c>
      <c r="J31" s="1">
        <v>8</v>
      </c>
      <c r="K31" s="2" t="s">
        <v>729</v>
      </c>
      <c r="L31" s="1">
        <f>VLOOKUP($J31,'_Kit Piece'!$A$2:$E$39, 4, FALSE)</f>
        <v>3</v>
      </c>
      <c r="M31" s="2" t="str">
        <f>VLOOKUP($L31,_Kit!$A$2:$B$9, 2, FALSE)</f>
        <v>Hi-Hat</v>
      </c>
    </row>
    <row r="32" spans="1:14">
      <c r="A32" s="1">
        <v>31</v>
      </c>
      <c r="B32" s="2" t="s">
        <v>632</v>
      </c>
      <c r="C32" s="2" t="s">
        <v>1045</v>
      </c>
      <c r="D32" s="2">
        <v>122</v>
      </c>
      <c r="E32" s="2" t="s">
        <v>150</v>
      </c>
      <c r="F32" s="2">
        <v>79</v>
      </c>
      <c r="G32" s="2" t="s">
        <v>147</v>
      </c>
      <c r="J32" s="1">
        <v>8</v>
      </c>
      <c r="K32" s="2" t="s">
        <v>729</v>
      </c>
      <c r="L32" s="1">
        <f>VLOOKUP($J32,'_Kit Piece'!$A$2:$E$39, 4, FALSE)</f>
        <v>3</v>
      </c>
      <c r="M32" s="2" t="str">
        <f>VLOOKUP($L32,_Kit!$A$2:$B$9, 2, FALSE)</f>
        <v>Hi-Hat</v>
      </c>
    </row>
    <row r="33" spans="1:14">
      <c r="A33" s="1">
        <v>32</v>
      </c>
      <c r="B33" s="2" t="s">
        <v>634</v>
      </c>
      <c r="C33" s="2" t="s">
        <v>1046</v>
      </c>
      <c r="D33" s="2">
        <v>123</v>
      </c>
      <c r="E33" s="2" t="s">
        <v>150</v>
      </c>
      <c r="F33" s="2">
        <v>79</v>
      </c>
      <c r="G33" s="2" t="s">
        <v>147</v>
      </c>
      <c r="J33" s="1">
        <v>8</v>
      </c>
      <c r="K33" s="2" t="s">
        <v>729</v>
      </c>
      <c r="L33" s="1">
        <f>VLOOKUP($J33,'_Kit Piece'!$A$2:$E$39, 4, FALSE)</f>
        <v>3</v>
      </c>
      <c r="M33" s="2" t="str">
        <f>VLOOKUP($L33,_Kit!$A$2:$B$9, 2, FALSE)</f>
        <v>Hi-Hat</v>
      </c>
    </row>
    <row r="34" spans="1:14">
      <c r="A34" s="1">
        <v>33</v>
      </c>
      <c r="B34" s="2" t="s">
        <v>154</v>
      </c>
      <c r="C34" s="2" t="s">
        <v>1047</v>
      </c>
      <c r="D34" s="2">
        <v>118</v>
      </c>
      <c r="E34" s="2" t="s">
        <v>150</v>
      </c>
      <c r="F34" s="2">
        <v>79</v>
      </c>
      <c r="G34" s="2" t="s">
        <v>147</v>
      </c>
      <c r="J34" s="1">
        <v>8</v>
      </c>
      <c r="K34" s="2" t="s">
        <v>729</v>
      </c>
      <c r="L34" s="1">
        <f>VLOOKUP($J34,'_Kit Piece'!$A$2:$E$39, 4, FALSE)</f>
        <v>3</v>
      </c>
      <c r="M34" s="2" t="str">
        <f>VLOOKUP($L34,_Kit!$A$2:$B$9, 2, FALSE)</f>
        <v>Hi-Hat</v>
      </c>
    </row>
    <row r="35" spans="1:14">
      <c r="A35" s="1">
        <v>34</v>
      </c>
      <c r="B35" s="2" t="s">
        <v>636</v>
      </c>
      <c r="C35" s="2" t="s">
        <v>1048</v>
      </c>
      <c r="D35" s="2">
        <v>119</v>
      </c>
      <c r="E35" s="2" t="s">
        <v>150</v>
      </c>
      <c r="F35" s="2">
        <v>79</v>
      </c>
      <c r="G35" s="2" t="s">
        <v>147</v>
      </c>
      <c r="J35" s="1">
        <v>8</v>
      </c>
      <c r="K35" s="2" t="s">
        <v>729</v>
      </c>
      <c r="L35" s="1">
        <f>VLOOKUP($J35,'_Kit Piece'!$A$2:$E$39, 4, FALSE)</f>
        <v>3</v>
      </c>
      <c r="M35" s="2" t="str">
        <f>VLOOKUP($L35,_Kit!$A$2:$B$9, 2, FALSE)</f>
        <v>Hi-Hat</v>
      </c>
    </row>
    <row r="36" spans="1:14">
      <c r="A36" s="1">
        <v>35</v>
      </c>
      <c r="B36" s="2" t="s">
        <v>638</v>
      </c>
      <c r="C36" s="2" t="s">
        <v>1049</v>
      </c>
      <c r="D36" s="2">
        <v>120</v>
      </c>
      <c r="E36" s="2" t="s">
        <v>150</v>
      </c>
      <c r="F36" s="2">
        <v>79</v>
      </c>
      <c r="G36" s="2" t="s">
        <v>147</v>
      </c>
      <c r="J36" s="1">
        <v>8</v>
      </c>
      <c r="K36" s="2" t="s">
        <v>729</v>
      </c>
      <c r="L36" s="1">
        <f>VLOOKUP($J36,'_Kit Piece'!$A$2:$E$39, 4, FALSE)</f>
        <v>3</v>
      </c>
      <c r="M36" s="2" t="str">
        <f>VLOOKUP($L36,_Kit!$A$2:$B$9, 2, FALSE)</f>
        <v>Hi-Hat</v>
      </c>
    </row>
    <row r="37" spans="1:14">
      <c r="A37" s="1">
        <v>36</v>
      </c>
      <c r="B37" s="2" t="s">
        <v>155</v>
      </c>
      <c r="C37" s="2" t="s">
        <v>1050</v>
      </c>
      <c r="D37" s="2">
        <v>117</v>
      </c>
      <c r="E37" s="2" t="s">
        <v>150</v>
      </c>
      <c r="F37" s="2">
        <v>79</v>
      </c>
      <c r="G37" s="2" t="s">
        <v>147</v>
      </c>
      <c r="J37" s="1">
        <v>8</v>
      </c>
      <c r="K37" s="2" t="s">
        <v>729</v>
      </c>
      <c r="L37" s="1">
        <f>VLOOKUP($J37,'_Kit Piece'!$A$2:$E$39, 4, FALSE)</f>
        <v>3</v>
      </c>
      <c r="M37" s="2" t="str">
        <f>VLOOKUP($L37,_Kit!$A$2:$B$9, 2, FALSE)</f>
        <v>Hi-Hat</v>
      </c>
    </row>
    <row r="38" spans="1:14">
      <c r="A38" s="1">
        <v>37</v>
      </c>
      <c r="B38" s="2" t="s">
        <v>152</v>
      </c>
      <c r="C38" s="2" t="s">
        <v>1051</v>
      </c>
      <c r="D38" s="2">
        <v>143</v>
      </c>
      <c r="E38" s="2" t="s">
        <v>150</v>
      </c>
      <c r="F38" s="2">
        <v>79</v>
      </c>
      <c r="G38" s="2" t="s">
        <v>147</v>
      </c>
      <c r="J38" s="1">
        <v>8</v>
      </c>
      <c r="K38" s="2" t="s">
        <v>729</v>
      </c>
      <c r="L38" s="1">
        <f>VLOOKUP($J38,'_Kit Piece'!$A$2:$E$39, 4, FALSE)</f>
        <v>3</v>
      </c>
      <c r="M38" s="2" t="str">
        <f>VLOOKUP($L38,_Kit!$A$2:$B$9, 2, FALSE)</f>
        <v>Hi-Hat</v>
      </c>
    </row>
    <row r="39" spans="1:14">
      <c r="A39" s="1">
        <v>38</v>
      </c>
      <c r="B39" s="2" t="s">
        <v>156</v>
      </c>
      <c r="C39" s="21">
        <v>0</v>
      </c>
      <c r="D39" s="2">
        <v>116</v>
      </c>
      <c r="E39" s="2" t="s">
        <v>157</v>
      </c>
      <c r="F39" s="2">
        <v>79</v>
      </c>
      <c r="G39" s="2" t="s">
        <v>147</v>
      </c>
      <c r="H39" s="2" t="s">
        <v>158</v>
      </c>
      <c r="J39" s="1">
        <v>9</v>
      </c>
      <c r="K39" s="2" t="s">
        <v>1081</v>
      </c>
      <c r="L39" s="1">
        <f>VLOOKUP($J39,'_Kit Piece'!$A$2:$E$39, 4, FALSE)</f>
        <v>3</v>
      </c>
      <c r="M39" s="2" t="str">
        <f>VLOOKUP($L39,_Kit!$A$2:$B$9, 2, FALSE)</f>
        <v>Hi-Hat</v>
      </c>
    </row>
    <row r="40" spans="1:14">
      <c r="A40" s="1">
        <v>39</v>
      </c>
      <c r="B40" s="2" t="s">
        <v>159</v>
      </c>
      <c r="C40" s="22">
        <v>1</v>
      </c>
      <c r="D40" s="2">
        <v>115</v>
      </c>
      <c r="E40" s="2" t="s">
        <v>157</v>
      </c>
      <c r="F40" s="2">
        <v>79</v>
      </c>
      <c r="G40" s="2" t="s">
        <v>147</v>
      </c>
      <c r="H40" s="2" t="s">
        <v>158</v>
      </c>
      <c r="J40" s="1">
        <v>9</v>
      </c>
      <c r="K40" s="2" t="s">
        <v>1081</v>
      </c>
      <c r="L40" s="1">
        <f>VLOOKUP($J40,'_Kit Piece'!$A$2:$E$39, 4, FALSE)</f>
        <v>3</v>
      </c>
      <c r="M40" s="2" t="str">
        <f>VLOOKUP($L40,_Kit!$A$2:$B$9, 2, FALSE)</f>
        <v>Hi-Hat</v>
      </c>
    </row>
    <row r="41" spans="1:14">
      <c r="A41" s="1">
        <v>40</v>
      </c>
      <c r="B41" s="2" t="s">
        <v>160</v>
      </c>
      <c r="C41" s="22">
        <v>2</v>
      </c>
      <c r="D41" s="2">
        <v>114</v>
      </c>
      <c r="E41" s="2" t="s">
        <v>157</v>
      </c>
      <c r="F41" s="2">
        <v>79</v>
      </c>
      <c r="G41" s="2" t="s">
        <v>147</v>
      </c>
      <c r="H41" s="2" t="s">
        <v>158</v>
      </c>
      <c r="J41" s="1">
        <v>9</v>
      </c>
      <c r="K41" s="2" t="s">
        <v>1081</v>
      </c>
      <c r="L41" s="1">
        <f>VLOOKUP($J41,'_Kit Piece'!$A$2:$E$39, 4, FALSE)</f>
        <v>3</v>
      </c>
      <c r="M41" s="2" t="str">
        <f>VLOOKUP($L41,_Kit!$A$2:$B$9, 2, FALSE)</f>
        <v>Hi-Hat</v>
      </c>
    </row>
    <row r="42" spans="1:14">
      <c r="A42" s="1">
        <v>41</v>
      </c>
      <c r="B42" s="2" t="s">
        <v>161</v>
      </c>
      <c r="C42" s="22">
        <v>3</v>
      </c>
      <c r="D42" s="2">
        <v>113</v>
      </c>
      <c r="E42" s="2" t="s">
        <v>157</v>
      </c>
      <c r="F42" s="2">
        <v>79</v>
      </c>
      <c r="G42" s="2" t="s">
        <v>147</v>
      </c>
      <c r="H42" s="2" t="s">
        <v>158</v>
      </c>
      <c r="J42" s="1">
        <v>9</v>
      </c>
      <c r="K42" s="2" t="s">
        <v>1081</v>
      </c>
      <c r="L42" s="1">
        <f>VLOOKUP($J42,'_Kit Piece'!$A$2:$E$39, 4, FALSE)</f>
        <v>3</v>
      </c>
      <c r="M42" s="2" t="str">
        <f>VLOOKUP($L42,_Kit!$A$2:$B$9, 2, FALSE)</f>
        <v>Hi-Hat</v>
      </c>
    </row>
    <row r="43" spans="1:14">
      <c r="A43" s="1">
        <v>42</v>
      </c>
      <c r="B43" s="2" t="s">
        <v>162</v>
      </c>
      <c r="C43" s="22">
        <v>4</v>
      </c>
      <c r="D43" s="2">
        <v>112</v>
      </c>
      <c r="E43" s="2" t="s">
        <v>157</v>
      </c>
      <c r="F43" s="2">
        <v>79</v>
      </c>
      <c r="G43" s="2" t="s">
        <v>147</v>
      </c>
      <c r="H43" s="2" t="s">
        <v>158</v>
      </c>
      <c r="J43" s="1">
        <v>9</v>
      </c>
      <c r="K43" s="2" t="s">
        <v>1081</v>
      </c>
      <c r="L43" s="1">
        <f>VLOOKUP($J43,'_Kit Piece'!$A$2:$E$39, 4, FALSE)</f>
        <v>3</v>
      </c>
      <c r="M43" s="2" t="str">
        <f>VLOOKUP($L43,_Kit!$A$2:$B$9, 2, FALSE)</f>
        <v>Hi-Hat</v>
      </c>
    </row>
    <row r="44" spans="1:14">
      <c r="A44" s="1">
        <v>43</v>
      </c>
      <c r="B44" s="2" t="s">
        <v>163</v>
      </c>
      <c r="C44" s="22">
        <v>5</v>
      </c>
      <c r="D44" s="2">
        <v>111</v>
      </c>
      <c r="E44" s="2" t="s">
        <v>157</v>
      </c>
      <c r="F44" s="2">
        <v>79</v>
      </c>
      <c r="G44" s="2" t="s">
        <v>147</v>
      </c>
      <c r="H44" s="2" t="s">
        <v>158</v>
      </c>
      <c r="J44" s="1">
        <v>9</v>
      </c>
      <c r="K44" s="2" t="s">
        <v>1081</v>
      </c>
      <c r="L44" s="1">
        <f>VLOOKUP($J44,'_Kit Piece'!$A$2:$E$39, 4, FALSE)</f>
        <v>3</v>
      </c>
      <c r="M44" s="2" t="str">
        <f>VLOOKUP($L44,_Kit!$A$2:$B$9, 2, FALSE)</f>
        <v>Hi-Hat</v>
      </c>
    </row>
    <row r="45" spans="1:14">
      <c r="A45" s="1">
        <v>44</v>
      </c>
      <c r="B45" s="2" t="s">
        <v>164</v>
      </c>
      <c r="C45" s="22">
        <v>0</v>
      </c>
      <c r="D45" s="2">
        <v>110</v>
      </c>
      <c r="E45" s="2" t="s">
        <v>157</v>
      </c>
      <c r="F45" s="2">
        <v>79</v>
      </c>
      <c r="G45" s="2" t="s">
        <v>147</v>
      </c>
      <c r="H45" s="2" t="s">
        <v>158</v>
      </c>
      <c r="J45" s="1">
        <v>10</v>
      </c>
      <c r="K45" s="2" t="s">
        <v>1083</v>
      </c>
      <c r="L45" s="1">
        <f>VLOOKUP($J45,'_Kit Piece'!$A$2:$E$39, 4, FALSE)</f>
        <v>3</v>
      </c>
      <c r="M45" s="2" t="str">
        <f>VLOOKUP($L45,_Kit!$A$2:$B$9, 2, FALSE)</f>
        <v>Hi-Hat</v>
      </c>
      <c r="N45" s="2" t="s">
        <v>156</v>
      </c>
    </row>
    <row r="46" spans="1:14">
      <c r="A46" s="1">
        <v>45</v>
      </c>
      <c r="B46" s="2" t="s">
        <v>165</v>
      </c>
      <c r="C46" s="22">
        <v>1</v>
      </c>
      <c r="D46" s="2">
        <v>109</v>
      </c>
      <c r="E46" s="2" t="s">
        <v>157</v>
      </c>
      <c r="F46" s="2">
        <v>79</v>
      </c>
      <c r="G46" s="2" t="s">
        <v>147</v>
      </c>
      <c r="H46" s="2" t="s">
        <v>158</v>
      </c>
      <c r="J46" s="1">
        <v>10</v>
      </c>
      <c r="K46" s="2" t="s">
        <v>1083</v>
      </c>
      <c r="L46" s="1">
        <f>VLOOKUP($J46,'_Kit Piece'!$A$2:$E$39, 4, FALSE)</f>
        <v>3</v>
      </c>
      <c r="M46" s="2" t="str">
        <f>VLOOKUP($L46,_Kit!$A$2:$B$9, 2, FALSE)</f>
        <v>Hi-Hat</v>
      </c>
      <c r="N46" s="2" t="s">
        <v>159</v>
      </c>
    </row>
    <row r="47" spans="1:14">
      <c r="A47" s="1">
        <v>46</v>
      </c>
      <c r="B47" s="2" t="s">
        <v>166</v>
      </c>
      <c r="C47" s="22">
        <v>2</v>
      </c>
      <c r="D47" s="2">
        <v>108</v>
      </c>
      <c r="E47" s="2" t="s">
        <v>157</v>
      </c>
      <c r="F47" s="2">
        <v>79</v>
      </c>
      <c r="G47" s="2" t="s">
        <v>147</v>
      </c>
      <c r="H47" s="2" t="s">
        <v>158</v>
      </c>
      <c r="J47" s="1">
        <v>10</v>
      </c>
      <c r="K47" s="2" t="s">
        <v>1083</v>
      </c>
      <c r="L47" s="1">
        <f>VLOOKUP($J47,'_Kit Piece'!$A$2:$E$39, 4, FALSE)</f>
        <v>3</v>
      </c>
      <c r="M47" s="2" t="str">
        <f>VLOOKUP($L47,_Kit!$A$2:$B$9, 2, FALSE)</f>
        <v>Hi-Hat</v>
      </c>
      <c r="N47" s="2" t="s">
        <v>160</v>
      </c>
    </row>
    <row r="48" spans="1:14">
      <c r="A48" s="1">
        <v>47</v>
      </c>
      <c r="B48" s="2" t="s">
        <v>167</v>
      </c>
      <c r="C48" s="22">
        <v>3</v>
      </c>
      <c r="D48" s="2">
        <v>107</v>
      </c>
      <c r="E48" s="2" t="s">
        <v>157</v>
      </c>
      <c r="F48" s="2">
        <v>79</v>
      </c>
      <c r="G48" s="2" t="s">
        <v>147</v>
      </c>
      <c r="H48" s="2" t="s">
        <v>158</v>
      </c>
      <c r="J48" s="1">
        <v>10</v>
      </c>
      <c r="K48" s="2" t="s">
        <v>1083</v>
      </c>
      <c r="L48" s="1">
        <f>VLOOKUP($J48,'_Kit Piece'!$A$2:$E$39, 4, FALSE)</f>
        <v>3</v>
      </c>
      <c r="M48" s="2" t="str">
        <f>VLOOKUP($L48,_Kit!$A$2:$B$9, 2, FALSE)</f>
        <v>Hi-Hat</v>
      </c>
      <c r="N48" s="2" t="s">
        <v>161</v>
      </c>
    </row>
    <row r="49" spans="1:14">
      <c r="A49" s="1">
        <v>48</v>
      </c>
      <c r="B49" s="2" t="s">
        <v>168</v>
      </c>
      <c r="C49" s="22">
        <v>4</v>
      </c>
      <c r="D49" s="2">
        <v>106</v>
      </c>
      <c r="E49" s="2" t="s">
        <v>157</v>
      </c>
      <c r="F49" s="2">
        <v>79</v>
      </c>
      <c r="G49" s="2" t="s">
        <v>147</v>
      </c>
      <c r="H49" s="2" t="s">
        <v>158</v>
      </c>
      <c r="J49" s="1">
        <v>10</v>
      </c>
      <c r="K49" s="2" t="s">
        <v>1083</v>
      </c>
      <c r="L49" s="1">
        <f>VLOOKUP($J49,'_Kit Piece'!$A$2:$E$39, 4, FALSE)</f>
        <v>3</v>
      </c>
      <c r="M49" s="2" t="str">
        <f>VLOOKUP($L49,_Kit!$A$2:$B$9, 2, FALSE)</f>
        <v>Hi-Hat</v>
      </c>
      <c r="N49" s="2" t="s">
        <v>162</v>
      </c>
    </row>
    <row r="50" spans="1:14">
      <c r="A50" s="1">
        <v>49</v>
      </c>
      <c r="B50" s="2" t="s">
        <v>169</v>
      </c>
      <c r="C50" s="22">
        <v>5</v>
      </c>
      <c r="D50" s="2">
        <v>105</v>
      </c>
      <c r="E50" s="2" t="s">
        <v>157</v>
      </c>
      <c r="F50" s="2">
        <v>79</v>
      </c>
      <c r="G50" s="2" t="s">
        <v>147</v>
      </c>
      <c r="H50" s="2" t="s">
        <v>158</v>
      </c>
      <c r="J50" s="1">
        <v>10</v>
      </c>
      <c r="K50" s="2" t="s">
        <v>1083</v>
      </c>
      <c r="L50" s="1">
        <f>VLOOKUP($J50,'_Kit Piece'!$A$2:$E$39, 4, FALSE)</f>
        <v>3</v>
      </c>
      <c r="M50" s="2" t="str">
        <f>VLOOKUP($L50,_Kit!$A$2:$B$9, 2, FALSE)</f>
        <v>Hi-Hat</v>
      </c>
      <c r="N50" s="2" t="s">
        <v>163</v>
      </c>
    </row>
    <row r="51" spans="1:14">
      <c r="A51" s="1">
        <v>50</v>
      </c>
      <c r="B51" s="2" t="s">
        <v>170</v>
      </c>
      <c r="C51" s="22">
        <v>0</v>
      </c>
      <c r="D51" s="2">
        <v>104</v>
      </c>
      <c r="E51" s="2" t="s">
        <v>157</v>
      </c>
      <c r="F51" s="2">
        <v>79</v>
      </c>
      <c r="G51" s="2" t="s">
        <v>147</v>
      </c>
      <c r="H51" s="2" t="s">
        <v>158</v>
      </c>
      <c r="J51" s="1">
        <v>11</v>
      </c>
      <c r="K51" s="2" t="s">
        <v>1085</v>
      </c>
      <c r="L51" s="1">
        <f>VLOOKUP($J51,'_Kit Piece'!$A$2:$E$39, 4, FALSE)</f>
        <v>3</v>
      </c>
      <c r="M51" s="2" t="str">
        <f>VLOOKUP($L51,_Kit!$A$2:$B$9, 2, FALSE)</f>
        <v>Hi-Hat</v>
      </c>
      <c r="N51" s="2" t="s">
        <v>164</v>
      </c>
    </row>
    <row r="52" spans="1:14">
      <c r="A52" s="1">
        <v>51</v>
      </c>
      <c r="B52" s="2" t="s">
        <v>171</v>
      </c>
      <c r="C52" s="22">
        <v>1</v>
      </c>
      <c r="D52" s="2">
        <v>103</v>
      </c>
      <c r="E52" s="2" t="s">
        <v>157</v>
      </c>
      <c r="F52" s="2">
        <v>79</v>
      </c>
      <c r="G52" s="2" t="s">
        <v>147</v>
      </c>
      <c r="H52" s="2" t="s">
        <v>158</v>
      </c>
      <c r="J52" s="1">
        <v>11</v>
      </c>
      <c r="K52" s="2" t="s">
        <v>1085</v>
      </c>
      <c r="L52" s="1">
        <f>VLOOKUP($J52,'_Kit Piece'!$A$2:$E$39, 4, FALSE)</f>
        <v>3</v>
      </c>
      <c r="M52" s="2" t="str">
        <f>VLOOKUP($L52,_Kit!$A$2:$B$9, 2, FALSE)</f>
        <v>Hi-Hat</v>
      </c>
      <c r="N52" s="2" t="s">
        <v>165</v>
      </c>
    </row>
    <row r="53" spans="1:14">
      <c r="A53" s="1">
        <v>52</v>
      </c>
      <c r="B53" s="2" t="s">
        <v>172</v>
      </c>
      <c r="C53" s="22">
        <v>2</v>
      </c>
      <c r="D53" s="2">
        <v>102</v>
      </c>
      <c r="E53" s="2" t="s">
        <v>157</v>
      </c>
      <c r="F53" s="2">
        <v>79</v>
      </c>
      <c r="G53" s="2" t="s">
        <v>147</v>
      </c>
      <c r="H53" s="2" t="s">
        <v>158</v>
      </c>
      <c r="J53" s="1">
        <v>11</v>
      </c>
      <c r="K53" s="2" t="s">
        <v>1085</v>
      </c>
      <c r="L53" s="1">
        <f>VLOOKUP($J53,'_Kit Piece'!$A$2:$E$39, 4, FALSE)</f>
        <v>3</v>
      </c>
      <c r="M53" s="2" t="str">
        <f>VLOOKUP($L53,_Kit!$A$2:$B$9, 2, FALSE)</f>
        <v>Hi-Hat</v>
      </c>
      <c r="N53" s="2" t="s">
        <v>166</v>
      </c>
    </row>
    <row r="54" spans="1:14">
      <c r="A54" s="1">
        <v>53</v>
      </c>
      <c r="B54" s="2" t="s">
        <v>173</v>
      </c>
      <c r="C54" s="22">
        <v>3</v>
      </c>
      <c r="D54" s="2">
        <v>101</v>
      </c>
      <c r="E54" s="2" t="s">
        <v>157</v>
      </c>
      <c r="F54" s="2">
        <v>79</v>
      </c>
      <c r="G54" s="2" t="s">
        <v>147</v>
      </c>
      <c r="H54" s="2" t="s">
        <v>158</v>
      </c>
      <c r="J54" s="1">
        <v>11</v>
      </c>
      <c r="K54" s="2" t="s">
        <v>1085</v>
      </c>
      <c r="L54" s="1">
        <f>VLOOKUP($J54,'_Kit Piece'!$A$2:$E$39, 4, FALSE)</f>
        <v>3</v>
      </c>
      <c r="M54" s="2" t="str">
        <f>VLOOKUP($L54,_Kit!$A$2:$B$9, 2, FALSE)</f>
        <v>Hi-Hat</v>
      </c>
      <c r="N54" s="2" t="s">
        <v>167</v>
      </c>
    </row>
    <row r="55" spans="1:14">
      <c r="A55" s="1">
        <v>54</v>
      </c>
      <c r="B55" s="2" t="s">
        <v>174</v>
      </c>
      <c r="C55" s="22">
        <v>4</v>
      </c>
      <c r="D55" s="2">
        <v>100</v>
      </c>
      <c r="E55" s="2" t="s">
        <v>157</v>
      </c>
      <c r="F55" s="2">
        <v>79</v>
      </c>
      <c r="G55" s="2" t="s">
        <v>147</v>
      </c>
      <c r="H55" s="2" t="s">
        <v>158</v>
      </c>
      <c r="J55" s="1">
        <v>11</v>
      </c>
      <c r="K55" s="2" t="s">
        <v>1085</v>
      </c>
      <c r="L55" s="1">
        <f>VLOOKUP($J55,'_Kit Piece'!$A$2:$E$39, 4, FALSE)</f>
        <v>3</v>
      </c>
      <c r="M55" s="2" t="str">
        <f>VLOOKUP($L55,_Kit!$A$2:$B$9, 2, FALSE)</f>
        <v>Hi-Hat</v>
      </c>
      <c r="N55" s="2" t="s">
        <v>168</v>
      </c>
    </row>
    <row r="56" spans="1:14">
      <c r="A56" s="1">
        <v>55</v>
      </c>
      <c r="B56" s="2" t="s">
        <v>175</v>
      </c>
      <c r="C56" s="2" t="s">
        <v>1052</v>
      </c>
      <c r="D56" s="2">
        <v>93</v>
      </c>
      <c r="E56" s="2" t="s">
        <v>176</v>
      </c>
      <c r="F56" s="2">
        <v>77</v>
      </c>
      <c r="G56" s="2" t="s">
        <v>177</v>
      </c>
      <c r="J56" s="1">
        <v>12</v>
      </c>
      <c r="K56" s="2" t="s">
        <v>735</v>
      </c>
      <c r="L56" s="1">
        <f>VLOOKUP($J56,'_Kit Piece'!$A$2:$E$39, 4, FALSE)</f>
        <v>4</v>
      </c>
      <c r="M56" s="2" t="str">
        <f>VLOOKUP($L56,_Kit!$A$2:$B$9, 2, FALSE)</f>
        <v>Ride</v>
      </c>
    </row>
    <row r="57" spans="1:14">
      <c r="A57" s="1">
        <v>56</v>
      </c>
      <c r="B57" s="2" t="s">
        <v>178</v>
      </c>
      <c r="C57" s="2" t="s">
        <v>1053</v>
      </c>
      <c r="D57" s="2">
        <v>94</v>
      </c>
      <c r="E57" s="2" t="s">
        <v>176</v>
      </c>
      <c r="F57" s="2">
        <v>77</v>
      </c>
      <c r="G57" s="2" t="s">
        <v>177</v>
      </c>
      <c r="J57" s="1">
        <v>12</v>
      </c>
      <c r="K57" s="2" t="s">
        <v>735</v>
      </c>
      <c r="L57" s="1">
        <f>VLOOKUP($J57,'_Kit Piece'!$A$2:$E$39, 4, FALSE)</f>
        <v>4</v>
      </c>
      <c r="M57" s="2" t="str">
        <f>VLOOKUP($L57,_Kit!$A$2:$B$9, 2, FALSE)</f>
        <v>Ride</v>
      </c>
    </row>
    <row r="58" spans="1:14">
      <c r="A58" s="1">
        <v>57</v>
      </c>
      <c r="B58" s="2" t="s">
        <v>179</v>
      </c>
      <c r="C58" s="2" t="s">
        <v>1054</v>
      </c>
      <c r="D58" s="2">
        <v>95</v>
      </c>
      <c r="E58" s="2" t="s">
        <v>176</v>
      </c>
      <c r="F58" s="2">
        <v>77</v>
      </c>
      <c r="G58" s="2" t="s">
        <v>177</v>
      </c>
      <c r="J58" s="1">
        <v>12</v>
      </c>
      <c r="K58" s="2" t="s">
        <v>735</v>
      </c>
      <c r="L58" s="1">
        <f>VLOOKUP($J58,'_Kit Piece'!$A$2:$E$39, 4, FALSE)</f>
        <v>4</v>
      </c>
      <c r="M58" s="2" t="str">
        <f>VLOOKUP($L58,_Kit!$A$2:$B$9, 2, FALSE)</f>
        <v>Ride</v>
      </c>
    </row>
    <row r="59" spans="1:14">
      <c r="A59" s="1">
        <v>58</v>
      </c>
      <c r="B59" s="2" t="s">
        <v>182</v>
      </c>
      <c r="C59" s="2" t="s">
        <v>1025</v>
      </c>
      <c r="D59" s="2">
        <v>96</v>
      </c>
      <c r="E59" s="2" t="s">
        <v>176</v>
      </c>
      <c r="F59" s="2">
        <v>77</v>
      </c>
      <c r="G59" s="2" t="s">
        <v>177</v>
      </c>
      <c r="J59" s="1">
        <v>12</v>
      </c>
      <c r="K59" s="2" t="s">
        <v>735</v>
      </c>
      <c r="L59" s="1">
        <f>VLOOKUP($J59,'_Kit Piece'!$A$2:$E$39, 4, FALSE)</f>
        <v>4</v>
      </c>
      <c r="M59" s="2" t="str">
        <f>VLOOKUP($L59,_Kit!$A$2:$B$9, 2, FALSE)</f>
        <v>Ride</v>
      </c>
    </row>
    <row r="60" spans="1:14">
      <c r="A60" s="1">
        <v>59</v>
      </c>
      <c r="B60" s="2" t="s">
        <v>180</v>
      </c>
      <c r="C60" s="2" t="s">
        <v>1055</v>
      </c>
      <c r="D60" s="2">
        <v>97</v>
      </c>
      <c r="E60" s="2" t="s">
        <v>176</v>
      </c>
      <c r="F60" s="2">
        <v>77</v>
      </c>
      <c r="G60" s="2" t="s">
        <v>177</v>
      </c>
      <c r="J60" s="1">
        <v>12</v>
      </c>
      <c r="K60" s="2" t="s">
        <v>735</v>
      </c>
      <c r="L60" s="1">
        <f>VLOOKUP($J60,'_Kit Piece'!$A$2:$E$39, 4, FALSE)</f>
        <v>4</v>
      </c>
      <c r="M60" s="2" t="str">
        <f>VLOOKUP($L60,_Kit!$A$2:$B$9, 2, FALSE)</f>
        <v>Ride</v>
      </c>
    </row>
    <row r="61" spans="1:14">
      <c r="A61" s="1">
        <v>60</v>
      </c>
      <c r="B61" s="2" t="s">
        <v>181</v>
      </c>
      <c r="C61" s="2" t="s">
        <v>1056</v>
      </c>
      <c r="D61" s="2">
        <v>98</v>
      </c>
      <c r="E61" s="2" t="s">
        <v>176</v>
      </c>
      <c r="F61" s="2">
        <v>77</v>
      </c>
      <c r="G61" s="2" t="s">
        <v>177</v>
      </c>
      <c r="J61" s="1">
        <v>12</v>
      </c>
      <c r="K61" s="2" t="s">
        <v>735</v>
      </c>
      <c r="L61" s="1">
        <f>VLOOKUP($J61,'_Kit Piece'!$A$2:$E$39, 4, FALSE)</f>
        <v>4</v>
      </c>
      <c r="M61" s="2" t="str">
        <f>VLOOKUP($L61,_Kit!$A$2:$B$9, 2, FALSE)</f>
        <v>Ride</v>
      </c>
    </row>
    <row r="62" spans="1:14">
      <c r="A62" s="1">
        <v>61</v>
      </c>
      <c r="B62" s="2" t="s">
        <v>183</v>
      </c>
      <c r="C62" s="2" t="s">
        <v>1033</v>
      </c>
      <c r="D62" s="2">
        <v>99</v>
      </c>
      <c r="E62" s="2" t="s">
        <v>176</v>
      </c>
      <c r="F62" s="2">
        <v>77</v>
      </c>
      <c r="G62" s="2" t="s">
        <v>177</v>
      </c>
      <c r="J62" s="1">
        <v>12</v>
      </c>
      <c r="K62" s="2" t="s">
        <v>735</v>
      </c>
      <c r="L62" s="1">
        <f>VLOOKUP($J62,'_Kit Piece'!$A$2:$E$39, 4, FALSE)</f>
        <v>4</v>
      </c>
      <c r="M62" s="2" t="str">
        <f>VLOOKUP($L62,_Kit!$A$2:$B$9, 2, FALSE)</f>
        <v>Ride</v>
      </c>
    </row>
    <row r="63" spans="1:14">
      <c r="A63" s="1">
        <v>62</v>
      </c>
      <c r="B63" s="2" t="s">
        <v>184</v>
      </c>
      <c r="C63" s="2" t="s">
        <v>1057</v>
      </c>
      <c r="D63" s="2">
        <v>154</v>
      </c>
      <c r="E63" s="2" t="s">
        <v>176</v>
      </c>
      <c r="F63" s="2">
        <v>77</v>
      </c>
      <c r="G63" s="2" t="s">
        <v>177</v>
      </c>
      <c r="J63" s="1">
        <v>13</v>
      </c>
      <c r="K63" s="2" t="s">
        <v>736</v>
      </c>
      <c r="L63" s="1">
        <f>VLOOKUP($J63,'_Kit Piece'!$A$2:$E$39, 4, FALSE)</f>
        <v>4</v>
      </c>
      <c r="M63" s="2" t="str">
        <f>VLOOKUP($L63,_Kit!$A$2:$B$9, 2, FALSE)</f>
        <v>Ride</v>
      </c>
      <c r="N63" s="2" t="s">
        <v>175</v>
      </c>
    </row>
    <row r="64" spans="1:14">
      <c r="A64" s="1">
        <v>63</v>
      </c>
      <c r="B64" s="2" t="s">
        <v>185</v>
      </c>
      <c r="C64" s="2" t="s">
        <v>1054</v>
      </c>
      <c r="D64" s="2">
        <v>155</v>
      </c>
      <c r="E64" s="2" t="s">
        <v>176</v>
      </c>
      <c r="F64" s="2">
        <v>77</v>
      </c>
      <c r="G64" s="2" t="s">
        <v>177</v>
      </c>
      <c r="J64" s="1">
        <v>13</v>
      </c>
      <c r="K64" s="2" t="s">
        <v>736</v>
      </c>
      <c r="L64" s="1">
        <f>VLOOKUP($J64,'_Kit Piece'!$A$2:$E$39, 4, FALSE)</f>
        <v>4</v>
      </c>
      <c r="M64" s="2" t="str">
        <f>VLOOKUP($L64,_Kit!$A$2:$B$9, 2, FALSE)</f>
        <v>Ride</v>
      </c>
      <c r="N64" s="2" t="s">
        <v>179</v>
      </c>
    </row>
    <row r="65" spans="1:14">
      <c r="A65" s="1">
        <v>64</v>
      </c>
      <c r="B65" s="2" t="s">
        <v>186</v>
      </c>
      <c r="C65" s="2" t="s">
        <v>1055</v>
      </c>
      <c r="D65" s="2">
        <v>156</v>
      </c>
      <c r="E65" s="2" t="s">
        <v>176</v>
      </c>
      <c r="F65" s="2">
        <v>77</v>
      </c>
      <c r="G65" s="2" t="s">
        <v>177</v>
      </c>
      <c r="J65" s="1">
        <v>13</v>
      </c>
      <c r="K65" s="2" t="s">
        <v>736</v>
      </c>
      <c r="L65" s="1">
        <f>VLOOKUP($J65,'_Kit Piece'!$A$2:$E$39, 4, FALSE)</f>
        <v>4</v>
      </c>
      <c r="M65" s="2" t="str">
        <f>VLOOKUP($L65,_Kit!$A$2:$B$9, 2, FALSE)</f>
        <v>Ride</v>
      </c>
      <c r="N65" s="2" t="s">
        <v>180</v>
      </c>
    </row>
    <row r="66" spans="1:14">
      <c r="A66" s="1">
        <v>65</v>
      </c>
      <c r="B66" s="2" t="s">
        <v>187</v>
      </c>
      <c r="C66" s="2" t="s">
        <v>1033</v>
      </c>
      <c r="D66" s="2">
        <v>157</v>
      </c>
      <c r="E66" s="2" t="s">
        <v>176</v>
      </c>
      <c r="F66" s="2">
        <v>77</v>
      </c>
      <c r="G66" s="2" t="s">
        <v>177</v>
      </c>
      <c r="J66" s="1">
        <v>13</v>
      </c>
      <c r="K66" s="2" t="s">
        <v>736</v>
      </c>
      <c r="L66" s="1">
        <f>VLOOKUP($J66,'_Kit Piece'!$A$2:$E$39, 4, FALSE)</f>
        <v>4</v>
      </c>
      <c r="M66" s="2" t="str">
        <f>VLOOKUP($L66,_Kit!$A$2:$B$9, 2, FALSE)</f>
        <v>Ride</v>
      </c>
      <c r="N66" s="2" t="s">
        <v>183</v>
      </c>
    </row>
    <row r="67" spans="1:14">
      <c r="A67" s="1">
        <v>66</v>
      </c>
      <c r="B67" s="2" t="s">
        <v>986</v>
      </c>
      <c r="D67" s="2">
        <v>53</v>
      </c>
      <c r="E67" s="2" t="s">
        <v>188</v>
      </c>
      <c r="F67" s="2">
        <v>77</v>
      </c>
      <c r="J67" s="1">
        <v>14</v>
      </c>
      <c r="K67" s="2" t="s">
        <v>986</v>
      </c>
      <c r="L67" s="1">
        <f>VLOOKUP($J67,'_Kit Piece'!$A$2:$E$39, 4, FALSE)</f>
        <v>5</v>
      </c>
      <c r="M67" s="2" t="str">
        <f>VLOOKUP($L67,_Kit!$A$2:$B$9, 2, FALSE)</f>
        <v>Hightom</v>
      </c>
      <c r="N67" s="2" t="s">
        <v>560</v>
      </c>
    </row>
    <row r="68" spans="1:14">
      <c r="A68" s="1">
        <v>67</v>
      </c>
      <c r="B68" s="2" t="s">
        <v>987</v>
      </c>
      <c r="C68" s="2" t="s">
        <v>1026</v>
      </c>
      <c r="D68" s="2">
        <v>54</v>
      </c>
      <c r="E68" s="2" t="s">
        <v>188</v>
      </c>
      <c r="F68" s="2">
        <v>77</v>
      </c>
      <c r="J68" s="1">
        <v>14</v>
      </c>
      <c r="K68" s="2" t="s">
        <v>986</v>
      </c>
      <c r="L68" s="1">
        <f>VLOOKUP($J68,'_Kit Piece'!$A$2:$E$39, 4, FALSE)</f>
        <v>5</v>
      </c>
      <c r="M68" s="2" t="str">
        <f>VLOOKUP($L68,_Kit!$A$2:$B$9, 2, FALSE)</f>
        <v>Hightom</v>
      </c>
      <c r="N68" s="2" t="s">
        <v>189</v>
      </c>
    </row>
    <row r="69" spans="1:14">
      <c r="A69" s="1">
        <v>68</v>
      </c>
      <c r="B69" s="2" t="s">
        <v>989</v>
      </c>
      <c r="D69" s="2">
        <v>55</v>
      </c>
      <c r="E69" s="2" t="s">
        <v>188</v>
      </c>
      <c r="F69" s="2">
        <v>77</v>
      </c>
      <c r="J69" s="1">
        <v>15</v>
      </c>
      <c r="K69" s="2" t="s">
        <v>989</v>
      </c>
      <c r="L69" s="1">
        <f>VLOOKUP($J69,'_Kit Piece'!$A$2:$E$39, 4, FALSE)</f>
        <v>5</v>
      </c>
      <c r="M69" s="2" t="str">
        <f>VLOOKUP($L69,_Kit!$A$2:$B$9, 2, FALSE)</f>
        <v>Hightom</v>
      </c>
      <c r="N69" s="2" t="s">
        <v>986</v>
      </c>
    </row>
    <row r="70" spans="1:14">
      <c r="A70" s="1">
        <v>69</v>
      </c>
      <c r="B70" s="2" t="s">
        <v>990</v>
      </c>
      <c r="C70" s="2" t="s">
        <v>1026</v>
      </c>
      <c r="D70" s="2">
        <v>56</v>
      </c>
      <c r="E70" s="2" t="s">
        <v>188</v>
      </c>
      <c r="F70" s="2">
        <v>77</v>
      </c>
      <c r="J70" s="1">
        <v>15</v>
      </c>
      <c r="K70" s="2" t="s">
        <v>989</v>
      </c>
      <c r="L70" s="1">
        <f>VLOOKUP($J70,'_Kit Piece'!$A$2:$E$39, 4, FALSE)</f>
        <v>5</v>
      </c>
      <c r="M70" s="2" t="str">
        <f>VLOOKUP($L70,_Kit!$A$2:$B$9, 2, FALSE)</f>
        <v>Hightom</v>
      </c>
      <c r="N70" s="2" t="s">
        <v>987</v>
      </c>
    </row>
    <row r="71" spans="1:14">
      <c r="A71" s="1">
        <v>70</v>
      </c>
      <c r="B71" s="2" t="s">
        <v>992</v>
      </c>
      <c r="D71" s="2">
        <v>57</v>
      </c>
      <c r="E71" s="2" t="s">
        <v>188</v>
      </c>
      <c r="F71" s="2">
        <v>77</v>
      </c>
      <c r="J71" s="1">
        <v>16</v>
      </c>
      <c r="K71" s="2" t="s">
        <v>992</v>
      </c>
      <c r="L71" s="1">
        <f>VLOOKUP($J71,'_Kit Piece'!$A$2:$E$39, 4, FALSE)</f>
        <v>5</v>
      </c>
      <c r="M71" s="2" t="str">
        <f>VLOOKUP($L71,_Kit!$A$2:$B$9, 2, FALSE)</f>
        <v>Hightom</v>
      </c>
      <c r="N71" s="2" t="s">
        <v>989</v>
      </c>
    </row>
    <row r="72" spans="1:14">
      <c r="A72" s="1">
        <v>71</v>
      </c>
      <c r="B72" s="2" t="s">
        <v>993</v>
      </c>
      <c r="C72" s="2" t="s">
        <v>1026</v>
      </c>
      <c r="D72" s="2">
        <v>58</v>
      </c>
      <c r="E72" s="2" t="s">
        <v>188</v>
      </c>
      <c r="F72" s="2">
        <v>77</v>
      </c>
      <c r="J72" s="1">
        <v>16</v>
      </c>
      <c r="K72" s="2" t="s">
        <v>992</v>
      </c>
      <c r="L72" s="1">
        <f>VLOOKUP($J72,'_Kit Piece'!$A$2:$E$39, 4, FALSE)</f>
        <v>5</v>
      </c>
      <c r="M72" s="2" t="str">
        <f>VLOOKUP($L72,_Kit!$A$2:$B$9, 2, FALSE)</f>
        <v>Hightom</v>
      </c>
      <c r="N72" s="2" t="s">
        <v>990</v>
      </c>
    </row>
    <row r="73" spans="1:14">
      <c r="A73" s="1">
        <v>72</v>
      </c>
      <c r="B73" s="2" t="s">
        <v>994</v>
      </c>
      <c r="D73" s="2">
        <v>59</v>
      </c>
      <c r="E73" s="2" t="s">
        <v>188</v>
      </c>
      <c r="F73" s="2">
        <v>77</v>
      </c>
      <c r="J73" s="1">
        <v>17</v>
      </c>
      <c r="K73" s="2" t="s">
        <v>994</v>
      </c>
      <c r="L73" s="1">
        <f>VLOOKUP($J73,'_Kit Piece'!$A$2:$E$39, 4, FALSE)</f>
        <v>5</v>
      </c>
      <c r="M73" s="2" t="str">
        <f>VLOOKUP($L73,_Kit!$A$2:$B$9, 2, FALSE)</f>
        <v>Hightom</v>
      </c>
      <c r="N73" s="2" t="s">
        <v>992</v>
      </c>
    </row>
    <row r="74" spans="1:14">
      <c r="A74" s="1">
        <v>73</v>
      </c>
      <c r="B74" s="2" t="s">
        <v>995</v>
      </c>
      <c r="C74" s="2" t="s">
        <v>1026</v>
      </c>
      <c r="D74" s="2">
        <v>60</v>
      </c>
      <c r="E74" s="2" t="s">
        <v>188</v>
      </c>
      <c r="F74" s="2">
        <v>77</v>
      </c>
      <c r="J74" s="1">
        <v>17</v>
      </c>
      <c r="K74" s="2" t="s">
        <v>994</v>
      </c>
      <c r="L74" s="1">
        <f>VLOOKUP($J74,'_Kit Piece'!$A$2:$E$39, 4, FALSE)</f>
        <v>5</v>
      </c>
      <c r="M74" s="2" t="str">
        <f>VLOOKUP($L74,_Kit!$A$2:$B$9, 2, FALSE)</f>
        <v>Hightom</v>
      </c>
      <c r="N74" s="2" t="s">
        <v>993</v>
      </c>
    </row>
    <row r="75" spans="1:14">
      <c r="A75" s="1">
        <v>74</v>
      </c>
      <c r="B75" s="2" t="s">
        <v>560</v>
      </c>
      <c r="D75" s="2">
        <v>61</v>
      </c>
      <c r="E75" s="2" t="s">
        <v>188</v>
      </c>
      <c r="F75" s="2">
        <v>77</v>
      </c>
      <c r="J75" s="1">
        <v>18</v>
      </c>
      <c r="K75" s="2" t="s">
        <v>560</v>
      </c>
      <c r="L75" s="1">
        <f>VLOOKUP($J75,'_Kit Piece'!$A$2:$E$39, 4, FALSE)</f>
        <v>6</v>
      </c>
      <c r="M75" s="2" t="str">
        <f>VLOOKUP($L75,_Kit!$A$2:$B$9, 2, FALSE)</f>
        <v>Racktom</v>
      </c>
    </row>
    <row r="76" spans="1:14">
      <c r="A76" s="1">
        <v>75</v>
      </c>
      <c r="B76" s="2" t="s">
        <v>996</v>
      </c>
      <c r="C76" s="2" t="s">
        <v>1020</v>
      </c>
      <c r="D76" s="2">
        <v>62</v>
      </c>
      <c r="E76" s="2" t="s">
        <v>188</v>
      </c>
      <c r="F76" s="2">
        <v>77</v>
      </c>
      <c r="J76" s="1">
        <v>18</v>
      </c>
      <c r="K76" s="2" t="s">
        <v>560</v>
      </c>
      <c r="L76" s="1">
        <f>VLOOKUP($J76,'_Kit Piece'!$A$2:$E$39, 4, FALSE)</f>
        <v>6</v>
      </c>
      <c r="M76" s="2" t="str">
        <f>VLOOKUP($L76,_Kit!$A$2:$B$9, 2, FALSE)</f>
        <v>Racktom</v>
      </c>
    </row>
    <row r="77" spans="1:14">
      <c r="A77" s="1">
        <v>76</v>
      </c>
      <c r="B77" s="2" t="s">
        <v>997</v>
      </c>
      <c r="C77" s="2" t="s">
        <v>1021</v>
      </c>
      <c r="D77" s="2">
        <v>63</v>
      </c>
      <c r="E77" s="2" t="s">
        <v>188</v>
      </c>
      <c r="F77" s="2">
        <v>77</v>
      </c>
      <c r="J77" s="1">
        <v>18</v>
      </c>
      <c r="K77" s="2" t="s">
        <v>560</v>
      </c>
      <c r="L77" s="1">
        <f>VLOOKUP($J77,'_Kit Piece'!$A$2:$E$39, 4, FALSE)</f>
        <v>6</v>
      </c>
      <c r="M77" s="2" t="str">
        <f>VLOOKUP($L77,_Kit!$A$2:$B$9, 2, FALSE)</f>
        <v>Racktom</v>
      </c>
    </row>
    <row r="78" spans="1:14">
      <c r="A78" s="1">
        <v>77</v>
      </c>
      <c r="B78" s="2" t="s">
        <v>189</v>
      </c>
      <c r="C78" s="2" t="s">
        <v>1026</v>
      </c>
      <c r="D78" s="2">
        <v>64</v>
      </c>
      <c r="E78" s="2" t="s">
        <v>188</v>
      </c>
      <c r="F78" s="2">
        <v>76</v>
      </c>
      <c r="J78" s="1">
        <v>18</v>
      </c>
      <c r="K78" s="2" t="s">
        <v>560</v>
      </c>
      <c r="L78" s="1">
        <f>VLOOKUP($J78,'_Kit Piece'!$A$2:$E$39, 4, FALSE)</f>
        <v>6</v>
      </c>
      <c r="M78" s="2" t="str">
        <f>VLOOKUP($L78,_Kit!$A$2:$B$9, 2, FALSE)</f>
        <v>Racktom</v>
      </c>
    </row>
    <row r="79" spans="1:14">
      <c r="A79" s="1">
        <v>78</v>
      </c>
      <c r="B79" s="2" t="s">
        <v>998</v>
      </c>
      <c r="C79" s="2" t="s">
        <v>1036</v>
      </c>
      <c r="D79" s="2">
        <v>65</v>
      </c>
      <c r="E79" s="2" t="s">
        <v>188</v>
      </c>
      <c r="F79" s="2">
        <v>76</v>
      </c>
      <c r="J79" s="1">
        <v>18</v>
      </c>
      <c r="K79" s="2" t="s">
        <v>560</v>
      </c>
      <c r="L79" s="1">
        <f>VLOOKUP($J79,'_Kit Piece'!$A$2:$E$39, 4, FALSE)</f>
        <v>6</v>
      </c>
      <c r="M79" s="2" t="str">
        <f>VLOOKUP($L79,_Kit!$A$2:$B$9, 2, FALSE)</f>
        <v>Racktom</v>
      </c>
    </row>
    <row r="80" spans="1:14">
      <c r="A80" s="1">
        <v>79</v>
      </c>
      <c r="B80" s="2" t="s">
        <v>999</v>
      </c>
      <c r="C80" s="2" t="s">
        <v>1034</v>
      </c>
      <c r="D80" s="2">
        <v>66</v>
      </c>
      <c r="E80" s="2" t="s">
        <v>190</v>
      </c>
      <c r="F80" s="2">
        <v>74</v>
      </c>
      <c r="J80" s="1">
        <v>18</v>
      </c>
      <c r="K80" s="2" t="s">
        <v>560</v>
      </c>
      <c r="L80" s="1">
        <f>VLOOKUP($J80,'_Kit Piece'!$A$2:$E$39, 4, FALSE)</f>
        <v>6</v>
      </c>
      <c r="M80" s="2" t="str">
        <f>VLOOKUP($L80,_Kit!$A$2:$B$9, 2, FALSE)</f>
        <v>Racktom</v>
      </c>
    </row>
    <row r="81" spans="1:14">
      <c r="A81" s="1">
        <v>80</v>
      </c>
      <c r="B81" s="2" t="s">
        <v>559</v>
      </c>
      <c r="D81" s="2">
        <v>67</v>
      </c>
      <c r="E81" s="2" t="s">
        <v>190</v>
      </c>
      <c r="F81" s="2">
        <v>76</v>
      </c>
      <c r="J81" s="1">
        <v>19</v>
      </c>
      <c r="K81" s="2" t="s">
        <v>559</v>
      </c>
      <c r="L81" s="1">
        <f>VLOOKUP($J81,'_Kit Piece'!$A$2:$E$39, 4, FALSE)</f>
        <v>6</v>
      </c>
      <c r="M81" s="2" t="str">
        <f>VLOOKUP($L81,_Kit!$A$2:$B$9, 2, FALSE)</f>
        <v>Racktom</v>
      </c>
      <c r="N81" s="2" t="s">
        <v>560</v>
      </c>
    </row>
    <row r="82" spans="1:14">
      <c r="A82" s="1">
        <v>81</v>
      </c>
      <c r="B82" s="2" t="s">
        <v>1001</v>
      </c>
      <c r="C82" s="2" t="s">
        <v>1020</v>
      </c>
      <c r="D82" s="2">
        <v>68</v>
      </c>
      <c r="E82" s="2" t="s">
        <v>190</v>
      </c>
      <c r="F82" s="2">
        <v>76</v>
      </c>
      <c r="J82" s="1">
        <v>19</v>
      </c>
      <c r="K82" s="2" t="s">
        <v>559</v>
      </c>
      <c r="L82" s="1">
        <f>VLOOKUP($J82,'_Kit Piece'!$A$2:$E$39, 4, FALSE)</f>
        <v>6</v>
      </c>
      <c r="M82" s="2" t="str">
        <f>VLOOKUP($L82,_Kit!$A$2:$B$9, 2, FALSE)</f>
        <v>Racktom</v>
      </c>
      <c r="N82" s="2" t="s">
        <v>996</v>
      </c>
    </row>
    <row r="83" spans="1:14">
      <c r="A83" s="1">
        <v>82</v>
      </c>
      <c r="B83" s="2" t="s">
        <v>1002</v>
      </c>
      <c r="C83" s="2" t="s">
        <v>1021</v>
      </c>
      <c r="D83" s="2">
        <v>69</v>
      </c>
      <c r="E83" s="2" t="s">
        <v>190</v>
      </c>
      <c r="F83" s="2">
        <v>76</v>
      </c>
      <c r="J83" s="1">
        <v>19</v>
      </c>
      <c r="K83" s="2" t="s">
        <v>559</v>
      </c>
      <c r="L83" s="1">
        <f>VLOOKUP($J83,'_Kit Piece'!$A$2:$E$39, 4, FALSE)</f>
        <v>6</v>
      </c>
      <c r="M83" s="2" t="str">
        <f>VLOOKUP($L83,_Kit!$A$2:$B$9, 2, FALSE)</f>
        <v>Racktom</v>
      </c>
      <c r="N83" s="2" t="s">
        <v>997</v>
      </c>
    </row>
    <row r="84" spans="1:14">
      <c r="A84" s="1">
        <v>83</v>
      </c>
      <c r="B84" s="2" t="s">
        <v>191</v>
      </c>
      <c r="C84" s="2" t="s">
        <v>1026</v>
      </c>
      <c r="D84" s="2">
        <v>70</v>
      </c>
      <c r="E84" s="2" t="s">
        <v>190</v>
      </c>
      <c r="F84" s="2">
        <v>74</v>
      </c>
      <c r="J84" s="1">
        <v>19</v>
      </c>
      <c r="K84" s="2" t="s">
        <v>559</v>
      </c>
      <c r="L84" s="1">
        <f>VLOOKUP($J84,'_Kit Piece'!$A$2:$E$39, 4, FALSE)</f>
        <v>6</v>
      </c>
      <c r="M84" s="2" t="str">
        <f>VLOOKUP($L84,_Kit!$A$2:$B$9, 2, FALSE)</f>
        <v>Racktom</v>
      </c>
      <c r="N84" s="2" t="s">
        <v>189</v>
      </c>
    </row>
    <row r="85" spans="1:14">
      <c r="A85" s="1">
        <v>84</v>
      </c>
      <c r="B85" s="2" t="s">
        <v>1003</v>
      </c>
      <c r="C85" s="2" t="s">
        <v>1036</v>
      </c>
      <c r="D85" s="2">
        <v>71</v>
      </c>
      <c r="E85" s="2" t="s">
        <v>190</v>
      </c>
      <c r="F85" s="2">
        <v>74</v>
      </c>
      <c r="J85" s="1">
        <v>19</v>
      </c>
      <c r="K85" s="2" t="s">
        <v>559</v>
      </c>
      <c r="L85" s="1">
        <f>VLOOKUP($J85,'_Kit Piece'!$A$2:$E$39, 4, FALSE)</f>
        <v>6</v>
      </c>
      <c r="M85" s="2" t="str">
        <f>VLOOKUP($L85,_Kit!$A$2:$B$9, 2, FALSE)</f>
        <v>Racktom</v>
      </c>
      <c r="N85" s="2" t="s">
        <v>998</v>
      </c>
    </row>
    <row r="86" spans="1:14">
      <c r="A86" s="1">
        <v>85</v>
      </c>
      <c r="B86" s="2" t="s">
        <v>1004</v>
      </c>
      <c r="C86" s="2" t="s">
        <v>1034</v>
      </c>
      <c r="D86" s="2">
        <v>72</v>
      </c>
      <c r="E86" s="2" t="s">
        <v>190</v>
      </c>
      <c r="F86" s="2">
        <v>74</v>
      </c>
      <c r="J86" s="1">
        <v>19</v>
      </c>
      <c r="K86" s="2" t="s">
        <v>559</v>
      </c>
      <c r="L86" s="1">
        <f>VLOOKUP($J86,'_Kit Piece'!$A$2:$E$39, 4, FALSE)</f>
        <v>6</v>
      </c>
      <c r="M86" s="2" t="str">
        <f>VLOOKUP($L86,_Kit!$A$2:$B$9, 2, FALSE)</f>
        <v>Racktom</v>
      </c>
      <c r="N86" s="2" t="s">
        <v>999</v>
      </c>
    </row>
    <row r="87" spans="1:14">
      <c r="A87" s="1">
        <v>86</v>
      </c>
      <c r="B87" s="2" t="s">
        <v>239</v>
      </c>
      <c r="D87" s="2">
        <v>73</v>
      </c>
      <c r="E87" s="2" t="s">
        <v>192</v>
      </c>
      <c r="F87" s="2">
        <v>74</v>
      </c>
      <c r="J87" s="1">
        <v>20</v>
      </c>
      <c r="K87" s="2" t="s">
        <v>239</v>
      </c>
      <c r="L87" s="1">
        <f>VLOOKUP($J87,'_Kit Piece'!$A$2:$E$39, 4, FALSE)</f>
        <v>6</v>
      </c>
      <c r="M87" s="2" t="str">
        <f>VLOOKUP($L87,_Kit!$A$2:$B$9, 2, FALSE)</f>
        <v>Racktom</v>
      </c>
      <c r="N87" s="2" t="s">
        <v>559</v>
      </c>
    </row>
    <row r="88" spans="1:14">
      <c r="A88" s="1">
        <v>87</v>
      </c>
      <c r="B88" s="2" t="s">
        <v>1007</v>
      </c>
      <c r="C88" s="2" t="s">
        <v>1020</v>
      </c>
      <c r="D88" s="2">
        <v>74</v>
      </c>
      <c r="E88" s="2" t="s">
        <v>192</v>
      </c>
      <c r="F88" s="2">
        <v>74</v>
      </c>
      <c r="J88" s="1">
        <v>20</v>
      </c>
      <c r="K88" s="2" t="s">
        <v>239</v>
      </c>
      <c r="L88" s="1">
        <f>VLOOKUP($J88,'_Kit Piece'!$A$2:$E$39, 4, FALSE)</f>
        <v>6</v>
      </c>
      <c r="M88" s="2" t="str">
        <f>VLOOKUP($L88,_Kit!$A$2:$B$9, 2, FALSE)</f>
        <v>Racktom</v>
      </c>
      <c r="N88" s="2" t="s">
        <v>1001</v>
      </c>
    </row>
    <row r="89" spans="1:14">
      <c r="A89" s="1">
        <v>88</v>
      </c>
      <c r="B89" s="2" t="s">
        <v>1008</v>
      </c>
      <c r="C89" s="2" t="s">
        <v>1021</v>
      </c>
      <c r="D89" s="2">
        <v>75</v>
      </c>
      <c r="E89" s="2" t="s">
        <v>192</v>
      </c>
      <c r="F89" s="2">
        <v>74</v>
      </c>
      <c r="J89" s="1">
        <v>20</v>
      </c>
      <c r="K89" s="2" t="s">
        <v>239</v>
      </c>
      <c r="L89" s="1">
        <f>VLOOKUP($J89,'_Kit Piece'!$A$2:$E$39, 4, FALSE)</f>
        <v>6</v>
      </c>
      <c r="M89" s="2" t="str">
        <f>VLOOKUP($L89,_Kit!$A$2:$B$9, 2, FALSE)</f>
        <v>Racktom</v>
      </c>
      <c r="N89" s="2" t="s">
        <v>1002</v>
      </c>
    </row>
    <row r="90" spans="1:14">
      <c r="A90" s="1">
        <v>89</v>
      </c>
      <c r="B90" s="2" t="s">
        <v>193</v>
      </c>
      <c r="C90" s="2" t="s">
        <v>1026</v>
      </c>
      <c r="D90" s="2">
        <v>76</v>
      </c>
      <c r="E90" s="2" t="s">
        <v>192</v>
      </c>
      <c r="F90" s="2">
        <v>72</v>
      </c>
      <c r="J90" s="1">
        <v>20</v>
      </c>
      <c r="K90" s="2" t="s">
        <v>239</v>
      </c>
      <c r="L90" s="1">
        <f>VLOOKUP($J90,'_Kit Piece'!$A$2:$E$39, 4, FALSE)</f>
        <v>6</v>
      </c>
      <c r="M90" s="2" t="str">
        <f>VLOOKUP($L90,_Kit!$A$2:$B$9, 2, FALSE)</f>
        <v>Racktom</v>
      </c>
      <c r="N90" s="2" t="s">
        <v>191</v>
      </c>
    </row>
    <row r="91" spans="1:14">
      <c r="A91" s="1">
        <v>90</v>
      </c>
      <c r="B91" s="2" t="s">
        <v>1009</v>
      </c>
      <c r="C91" s="2" t="s">
        <v>1036</v>
      </c>
      <c r="D91" s="2">
        <v>77</v>
      </c>
      <c r="E91" s="2" t="s">
        <v>192</v>
      </c>
      <c r="F91" s="2">
        <v>72</v>
      </c>
      <c r="J91" s="1">
        <v>20</v>
      </c>
      <c r="K91" s="2" t="s">
        <v>239</v>
      </c>
      <c r="L91" s="1">
        <f>VLOOKUP($J91,'_Kit Piece'!$A$2:$E$39, 4, FALSE)</f>
        <v>6</v>
      </c>
      <c r="M91" s="2" t="str">
        <f>VLOOKUP($L91,_Kit!$A$2:$B$9, 2, FALSE)</f>
        <v>Racktom</v>
      </c>
      <c r="N91" s="2" t="s">
        <v>1003</v>
      </c>
    </row>
    <row r="92" spans="1:14">
      <c r="A92" s="1">
        <v>91</v>
      </c>
      <c r="B92" s="2" t="s">
        <v>240</v>
      </c>
      <c r="D92" s="2">
        <v>78</v>
      </c>
      <c r="E92" s="2" t="s">
        <v>194</v>
      </c>
      <c r="F92" s="2">
        <v>71</v>
      </c>
      <c r="J92" s="1">
        <v>21</v>
      </c>
      <c r="K92" s="2" t="s">
        <v>240</v>
      </c>
      <c r="L92" s="1">
        <f>VLOOKUP($J92,'_Kit Piece'!$A$2:$E$39, 4, FALSE)</f>
        <v>6</v>
      </c>
      <c r="M92" s="2" t="str">
        <f>VLOOKUP($L92,_Kit!$A$2:$B$9, 2, FALSE)</f>
        <v>Racktom</v>
      </c>
      <c r="N92" s="2" t="s">
        <v>239</v>
      </c>
    </row>
    <row r="93" spans="1:14">
      <c r="A93" s="1">
        <v>92</v>
      </c>
      <c r="B93" s="2" t="s">
        <v>195</v>
      </c>
      <c r="C93" s="2" t="s">
        <v>1026</v>
      </c>
      <c r="D93" s="2">
        <v>79</v>
      </c>
      <c r="E93" s="2" t="s">
        <v>194</v>
      </c>
      <c r="F93" s="2">
        <v>71</v>
      </c>
      <c r="J93" s="1">
        <v>21</v>
      </c>
      <c r="K93" s="2" t="s">
        <v>240</v>
      </c>
      <c r="L93" s="1">
        <f>VLOOKUP($J93,'_Kit Piece'!$A$2:$E$39, 4, FALSE)</f>
        <v>6</v>
      </c>
      <c r="M93" s="2" t="str">
        <f>VLOOKUP($L93,_Kit!$A$2:$B$9, 2, FALSE)</f>
        <v>Racktom</v>
      </c>
      <c r="N93" s="2" t="s">
        <v>193</v>
      </c>
    </row>
    <row r="94" spans="1:14">
      <c r="A94" s="1">
        <v>93</v>
      </c>
      <c r="B94" s="2" t="s">
        <v>1011</v>
      </c>
      <c r="C94" s="2" t="s">
        <v>1036</v>
      </c>
      <c r="D94" s="2">
        <v>80</v>
      </c>
      <c r="E94" s="2" t="s">
        <v>194</v>
      </c>
      <c r="F94" s="2">
        <v>71</v>
      </c>
      <c r="J94" s="1">
        <v>21</v>
      </c>
      <c r="K94" s="2" t="s">
        <v>240</v>
      </c>
      <c r="L94" s="1">
        <f>VLOOKUP($J94,'_Kit Piece'!$A$2:$E$39, 4, FALSE)</f>
        <v>6</v>
      </c>
      <c r="M94" s="2" t="str">
        <f>VLOOKUP($L94,_Kit!$A$2:$B$9, 2, FALSE)</f>
        <v>Racktom</v>
      </c>
      <c r="N94" s="2" t="s">
        <v>1009</v>
      </c>
    </row>
    <row r="95" spans="1:14">
      <c r="A95" s="1">
        <v>94</v>
      </c>
      <c r="B95" s="2" t="s">
        <v>241</v>
      </c>
      <c r="D95" s="2">
        <v>81</v>
      </c>
      <c r="E95" s="2" t="s">
        <v>197</v>
      </c>
      <c r="F95" s="2">
        <v>69</v>
      </c>
      <c r="J95" s="1">
        <v>22</v>
      </c>
      <c r="K95" s="2" t="s">
        <v>558</v>
      </c>
      <c r="L95" s="1">
        <f>VLOOKUP($J95,'_Kit Piece'!$A$2:$E$39, 4, FALSE)</f>
        <v>7</v>
      </c>
      <c r="M95" s="2" t="str">
        <f>VLOOKUP($L95,_Kit!$A$2:$B$9, 2, FALSE)</f>
        <v>Floortom</v>
      </c>
    </row>
    <row r="96" spans="1:14">
      <c r="A96" s="1">
        <v>95</v>
      </c>
      <c r="B96" s="2" t="s">
        <v>620</v>
      </c>
      <c r="C96" s="2" t="s">
        <v>1020</v>
      </c>
      <c r="D96" s="2">
        <v>82</v>
      </c>
      <c r="E96" s="2" t="s">
        <v>197</v>
      </c>
      <c r="F96" s="2">
        <v>69</v>
      </c>
      <c r="J96" s="1">
        <v>22</v>
      </c>
      <c r="K96" s="2" t="s">
        <v>558</v>
      </c>
      <c r="L96" s="1">
        <f>VLOOKUP($J96,'_Kit Piece'!$A$2:$E$39, 4, FALSE)</f>
        <v>7</v>
      </c>
      <c r="M96" s="2" t="str">
        <f>VLOOKUP($L96,_Kit!$A$2:$B$9, 2, FALSE)</f>
        <v>Floortom</v>
      </c>
    </row>
    <row r="97" spans="1:14">
      <c r="A97" s="1">
        <v>96</v>
      </c>
      <c r="B97" s="2" t="s">
        <v>622</v>
      </c>
      <c r="C97" s="2" t="s">
        <v>1021</v>
      </c>
      <c r="D97" s="2">
        <v>83</v>
      </c>
      <c r="E97" s="2" t="s">
        <v>197</v>
      </c>
      <c r="F97" s="2">
        <v>69</v>
      </c>
      <c r="J97" s="1">
        <v>22</v>
      </c>
      <c r="K97" s="2" t="s">
        <v>558</v>
      </c>
      <c r="L97" s="1">
        <f>VLOOKUP($J97,'_Kit Piece'!$A$2:$E$39, 4, FALSE)</f>
        <v>7</v>
      </c>
      <c r="M97" s="2" t="str">
        <f>VLOOKUP($L97,_Kit!$A$2:$B$9, 2, FALSE)</f>
        <v>Floortom</v>
      </c>
    </row>
    <row r="98" spans="1:14">
      <c r="A98" s="1">
        <v>97</v>
      </c>
      <c r="B98" s="2" t="s">
        <v>556</v>
      </c>
      <c r="C98" s="2" t="s">
        <v>1019</v>
      </c>
      <c r="D98" s="2">
        <v>84</v>
      </c>
      <c r="E98" s="2" t="s">
        <v>197</v>
      </c>
      <c r="F98" s="2">
        <v>69</v>
      </c>
      <c r="J98" s="1">
        <v>22</v>
      </c>
      <c r="K98" s="2" t="s">
        <v>558</v>
      </c>
      <c r="L98" s="1">
        <f>VLOOKUP($J98,'_Kit Piece'!$A$2:$E$39, 4, FALSE)</f>
        <v>7</v>
      </c>
      <c r="M98" s="2" t="str">
        <f>VLOOKUP($L98,_Kit!$A$2:$B$9, 2, FALSE)</f>
        <v>Floortom</v>
      </c>
    </row>
    <row r="99" spans="1:14">
      <c r="A99" s="1">
        <v>98</v>
      </c>
      <c r="B99" s="2" t="s">
        <v>198</v>
      </c>
      <c r="C99" s="2" t="s">
        <v>1026</v>
      </c>
      <c r="D99" s="2">
        <v>85</v>
      </c>
      <c r="E99" s="2" t="s">
        <v>197</v>
      </c>
      <c r="F99" s="2">
        <v>69</v>
      </c>
      <c r="J99" s="1">
        <v>22</v>
      </c>
      <c r="K99" s="2" t="s">
        <v>558</v>
      </c>
      <c r="L99" s="1">
        <f>VLOOKUP($J99,'_Kit Piece'!$A$2:$E$39, 4, FALSE)</f>
        <v>7</v>
      </c>
      <c r="M99" s="2" t="str">
        <f>VLOOKUP($L99,_Kit!$A$2:$B$9, 2, FALSE)</f>
        <v>Floortom</v>
      </c>
    </row>
    <row r="100" spans="1:14">
      <c r="A100" s="1">
        <v>99</v>
      </c>
      <c r="B100" s="2" t="s">
        <v>199</v>
      </c>
      <c r="C100" s="2" t="s">
        <v>1036</v>
      </c>
      <c r="D100" s="2">
        <v>86</v>
      </c>
      <c r="E100" s="2" t="s">
        <v>197</v>
      </c>
      <c r="F100" s="2">
        <v>69</v>
      </c>
      <c r="J100" s="1">
        <v>22</v>
      </c>
      <c r="K100" s="2" t="s">
        <v>558</v>
      </c>
      <c r="L100" s="1">
        <f>VLOOKUP($J100,'_Kit Piece'!$A$2:$E$39, 4, FALSE)</f>
        <v>7</v>
      </c>
      <c r="M100" s="2" t="str">
        <f>VLOOKUP($L100,_Kit!$A$2:$B$9, 2, FALSE)</f>
        <v>Floortom</v>
      </c>
    </row>
    <row r="101" spans="1:14">
      <c r="A101" s="1">
        <v>100</v>
      </c>
      <c r="B101" s="2" t="s">
        <v>200</v>
      </c>
      <c r="C101" s="2" t="s">
        <v>1034</v>
      </c>
      <c r="D101" s="2">
        <v>87</v>
      </c>
      <c r="E101" s="2" t="s">
        <v>197</v>
      </c>
      <c r="F101" s="2">
        <v>69</v>
      </c>
      <c r="J101" s="1">
        <v>22</v>
      </c>
      <c r="K101" s="2" t="s">
        <v>558</v>
      </c>
      <c r="L101" s="1">
        <f>VLOOKUP($J101,'_Kit Piece'!$A$2:$E$39, 4, FALSE)</f>
        <v>7</v>
      </c>
      <c r="M101" s="2" t="str">
        <f>VLOOKUP($L101,_Kit!$A$2:$B$9, 2, FALSE)</f>
        <v>Floortom</v>
      </c>
    </row>
    <row r="102" spans="1:14">
      <c r="A102" s="1">
        <v>101</v>
      </c>
      <c r="B102" s="2" t="s">
        <v>242</v>
      </c>
      <c r="D102" s="2">
        <v>88</v>
      </c>
      <c r="E102" s="2" t="s">
        <v>202</v>
      </c>
      <c r="F102" s="2">
        <v>67</v>
      </c>
      <c r="J102" s="1">
        <v>23</v>
      </c>
      <c r="K102" s="2" t="s">
        <v>557</v>
      </c>
      <c r="L102" s="1">
        <f>VLOOKUP($J102,'_Kit Piece'!$A$2:$E$39, 4, FALSE)</f>
        <v>7</v>
      </c>
      <c r="M102" s="2" t="str">
        <f>VLOOKUP($L102,_Kit!$A$2:$B$9, 2, FALSE)</f>
        <v>Floortom</v>
      </c>
      <c r="N102" s="2" t="s">
        <v>620</v>
      </c>
    </row>
    <row r="103" spans="1:14">
      <c r="A103" s="1">
        <v>102</v>
      </c>
      <c r="B103" s="2" t="s">
        <v>624</v>
      </c>
      <c r="C103" s="2" t="s">
        <v>1020</v>
      </c>
      <c r="D103" s="2">
        <v>89</v>
      </c>
      <c r="E103" s="2" t="s">
        <v>202</v>
      </c>
      <c r="F103" s="2">
        <v>67</v>
      </c>
      <c r="J103" s="1">
        <v>23</v>
      </c>
      <c r="K103" s="2" t="s">
        <v>557</v>
      </c>
      <c r="L103" s="1">
        <f>VLOOKUP($J103,'_Kit Piece'!$A$2:$E$39, 4, FALSE)</f>
        <v>7</v>
      </c>
      <c r="M103" s="2" t="str">
        <f>VLOOKUP($L103,_Kit!$A$2:$B$9, 2, FALSE)</f>
        <v>Floortom</v>
      </c>
      <c r="N103" s="2" t="s">
        <v>622</v>
      </c>
    </row>
    <row r="104" spans="1:14">
      <c r="A104" s="1">
        <v>103</v>
      </c>
      <c r="B104" s="2" t="s">
        <v>626</v>
      </c>
      <c r="C104" s="2" t="s">
        <v>1021</v>
      </c>
      <c r="D104" s="2">
        <v>90</v>
      </c>
      <c r="E104" s="2" t="s">
        <v>202</v>
      </c>
      <c r="F104" s="2">
        <v>67</v>
      </c>
      <c r="J104" s="1">
        <v>23</v>
      </c>
      <c r="K104" s="2" t="s">
        <v>557</v>
      </c>
      <c r="L104" s="1">
        <f>VLOOKUP($J104,'_Kit Piece'!$A$2:$E$39, 4, FALSE)</f>
        <v>7</v>
      </c>
      <c r="M104" s="2" t="str">
        <f>VLOOKUP($L104,_Kit!$A$2:$B$9, 2, FALSE)</f>
        <v>Floortom</v>
      </c>
      <c r="N104" s="2" t="s">
        <v>556</v>
      </c>
    </row>
    <row r="105" spans="1:14">
      <c r="A105" s="1">
        <v>104</v>
      </c>
      <c r="B105" s="2" t="s">
        <v>203</v>
      </c>
      <c r="C105" s="2" t="s">
        <v>1026</v>
      </c>
      <c r="D105" s="2">
        <v>91</v>
      </c>
      <c r="E105" s="2" t="s">
        <v>202</v>
      </c>
      <c r="F105" s="2">
        <v>67</v>
      </c>
      <c r="J105" s="1">
        <v>23</v>
      </c>
      <c r="K105" s="2" t="s">
        <v>557</v>
      </c>
      <c r="L105" s="1">
        <f>VLOOKUP($J105,'_Kit Piece'!$A$2:$E$39, 4, FALSE)</f>
        <v>7</v>
      </c>
      <c r="M105" s="2" t="str">
        <f>VLOOKUP($L105,_Kit!$A$2:$B$9, 2, FALSE)</f>
        <v>Floortom</v>
      </c>
      <c r="N105" s="2" t="s">
        <v>198</v>
      </c>
    </row>
    <row r="106" spans="1:14">
      <c r="A106" s="1">
        <v>105</v>
      </c>
      <c r="B106" s="2" t="s">
        <v>204</v>
      </c>
      <c r="C106" s="2" t="s">
        <v>1036</v>
      </c>
      <c r="D106" s="2">
        <v>92</v>
      </c>
      <c r="E106" s="2" t="s">
        <v>202</v>
      </c>
      <c r="F106" s="2">
        <v>67</v>
      </c>
      <c r="J106" s="1">
        <v>23</v>
      </c>
      <c r="K106" s="2" t="s">
        <v>557</v>
      </c>
      <c r="L106" s="1">
        <f>VLOOKUP($J106,'_Kit Piece'!$A$2:$E$39, 4, FALSE)</f>
        <v>7</v>
      </c>
      <c r="M106" s="2" t="str">
        <f>VLOOKUP($L106,_Kit!$A$2:$B$9, 2, FALSE)</f>
        <v>Floortom</v>
      </c>
      <c r="N106" s="2" t="s">
        <v>199</v>
      </c>
    </row>
    <row r="107" spans="1:14">
      <c r="A107" s="1">
        <v>106</v>
      </c>
      <c r="B107" s="2" t="s">
        <v>568</v>
      </c>
      <c r="C107" s="2" t="s">
        <v>1020</v>
      </c>
      <c r="D107" s="2">
        <v>47</v>
      </c>
      <c r="E107" s="2" t="s">
        <v>205</v>
      </c>
      <c r="F107" s="2">
        <v>81</v>
      </c>
      <c r="G107" s="2" t="s">
        <v>147</v>
      </c>
      <c r="J107" s="1">
        <v>24</v>
      </c>
      <c r="K107" s="2" t="s">
        <v>568</v>
      </c>
      <c r="L107" s="1">
        <f>VLOOKUP($J107,'_Kit Piece'!$A$2:$E$39, 4, FALSE)</f>
        <v>8</v>
      </c>
      <c r="M107" s="2" t="str">
        <f>VLOOKUP($L107,_Kit!$A$2:$B$9, 2, FALSE)</f>
        <v>Cymbal</v>
      </c>
    </row>
    <row r="108" spans="1:14">
      <c r="A108" s="1">
        <v>107</v>
      </c>
      <c r="B108" s="2" t="s">
        <v>206</v>
      </c>
      <c r="C108" s="2" t="s">
        <v>1058</v>
      </c>
      <c r="D108" s="2">
        <v>48</v>
      </c>
      <c r="E108" s="2" t="s">
        <v>205</v>
      </c>
      <c r="F108" s="2">
        <v>81</v>
      </c>
      <c r="G108" s="2" t="s">
        <v>147</v>
      </c>
      <c r="J108" s="1">
        <v>24</v>
      </c>
      <c r="K108" s="2" t="s">
        <v>568</v>
      </c>
      <c r="L108" s="1">
        <f>VLOOKUP($J108,'_Kit Piece'!$A$2:$E$39, 4, FALSE)</f>
        <v>8</v>
      </c>
      <c r="M108" s="2" t="str">
        <f>VLOOKUP($L108,_Kit!$A$2:$B$9, 2, FALSE)</f>
        <v>Cymbal</v>
      </c>
    </row>
    <row r="109" spans="1:14">
      <c r="A109" s="1">
        <v>108</v>
      </c>
      <c r="B109" s="2" t="s">
        <v>207</v>
      </c>
      <c r="C109" s="2" t="s">
        <v>1059</v>
      </c>
      <c r="D109" s="2">
        <v>49</v>
      </c>
      <c r="E109" s="2" t="s">
        <v>205</v>
      </c>
      <c r="F109" s="2">
        <v>81</v>
      </c>
      <c r="G109" s="2" t="s">
        <v>147</v>
      </c>
      <c r="J109" s="1">
        <v>24</v>
      </c>
      <c r="K109" s="2" t="s">
        <v>568</v>
      </c>
      <c r="L109" s="1">
        <f>VLOOKUP($J109,'_Kit Piece'!$A$2:$E$39, 4, FALSE)</f>
        <v>8</v>
      </c>
      <c r="M109" s="2" t="str">
        <f>VLOOKUP($L109,_Kit!$A$2:$B$9, 2, FALSE)</f>
        <v>Cymbal</v>
      </c>
    </row>
    <row r="110" spans="1:14">
      <c r="A110" s="1">
        <v>109</v>
      </c>
      <c r="B110" s="2" t="s">
        <v>208</v>
      </c>
      <c r="C110" s="2" t="s">
        <v>1060</v>
      </c>
      <c r="D110" s="2">
        <v>50</v>
      </c>
      <c r="E110" s="2" t="s">
        <v>205</v>
      </c>
      <c r="F110" s="2">
        <v>81</v>
      </c>
      <c r="G110" s="2" t="s">
        <v>147</v>
      </c>
      <c r="J110" s="1">
        <v>24</v>
      </c>
      <c r="K110" s="2" t="s">
        <v>568</v>
      </c>
      <c r="L110" s="1">
        <f>VLOOKUP($J110,'_Kit Piece'!$A$2:$E$39, 4, FALSE)</f>
        <v>8</v>
      </c>
      <c r="M110" s="2" t="str">
        <f>VLOOKUP($L110,_Kit!$A$2:$B$9, 2, FALSE)</f>
        <v>Cymbal</v>
      </c>
    </row>
    <row r="111" spans="1:14">
      <c r="A111" s="1">
        <v>110</v>
      </c>
      <c r="B111" s="2" t="s">
        <v>209</v>
      </c>
      <c r="C111" s="2" t="s">
        <v>1061</v>
      </c>
      <c r="D111" s="2">
        <v>51</v>
      </c>
      <c r="E111" s="2" t="s">
        <v>205</v>
      </c>
      <c r="F111" s="2">
        <v>81</v>
      </c>
      <c r="G111" s="2" t="s">
        <v>147</v>
      </c>
      <c r="J111" s="1">
        <v>24</v>
      </c>
      <c r="K111" s="2" t="s">
        <v>568</v>
      </c>
      <c r="L111" s="1">
        <f>VLOOKUP($J111,'_Kit Piece'!$A$2:$E$39, 4, FALSE)</f>
        <v>8</v>
      </c>
      <c r="M111" s="2" t="str">
        <f>VLOOKUP($L111,_Kit!$A$2:$B$9, 2, FALSE)</f>
        <v>Cymbal</v>
      </c>
    </row>
    <row r="112" spans="1:14">
      <c r="A112" s="1">
        <v>111</v>
      </c>
      <c r="B112" s="2" t="s">
        <v>210</v>
      </c>
      <c r="C112" s="2" t="s">
        <v>1062</v>
      </c>
      <c r="D112" s="2">
        <v>52</v>
      </c>
      <c r="E112" s="2" t="s">
        <v>205</v>
      </c>
      <c r="F112" s="2">
        <v>81</v>
      </c>
      <c r="G112" s="2" t="s">
        <v>147</v>
      </c>
      <c r="J112" s="1">
        <v>24</v>
      </c>
      <c r="K112" s="2" t="s">
        <v>568</v>
      </c>
      <c r="L112" s="1">
        <f>VLOOKUP($J112,'_Kit Piece'!$A$2:$E$39, 4, FALSE)</f>
        <v>8</v>
      </c>
      <c r="M112" s="2" t="str">
        <f>VLOOKUP($L112,_Kit!$A$2:$B$9, 2, FALSE)</f>
        <v>Cymbal</v>
      </c>
    </row>
    <row r="113" spans="1:14">
      <c r="A113" s="1">
        <v>112</v>
      </c>
      <c r="B113" s="2" t="s">
        <v>569</v>
      </c>
      <c r="C113" s="2" t="s">
        <v>1021</v>
      </c>
      <c r="D113" s="2">
        <v>41</v>
      </c>
      <c r="E113" s="2" t="s">
        <v>211</v>
      </c>
      <c r="F113" s="2">
        <v>83</v>
      </c>
      <c r="G113" s="2" t="s">
        <v>147</v>
      </c>
      <c r="J113" s="1">
        <v>25</v>
      </c>
      <c r="K113" s="2" t="s">
        <v>569</v>
      </c>
      <c r="L113" s="1">
        <f>VLOOKUP($J113,'_Kit Piece'!$A$2:$E$39, 4, FALSE)</f>
        <v>8</v>
      </c>
      <c r="M113" s="2" t="str">
        <f>VLOOKUP($L113,_Kit!$A$2:$B$9, 2, FALSE)</f>
        <v>Cymbal</v>
      </c>
      <c r="N113" s="2" t="s">
        <v>568</v>
      </c>
    </row>
    <row r="114" spans="1:14">
      <c r="A114" s="1">
        <v>113</v>
      </c>
      <c r="B114" s="2" t="s">
        <v>212</v>
      </c>
      <c r="C114" s="2" t="s">
        <v>1063</v>
      </c>
      <c r="D114" s="2">
        <v>42</v>
      </c>
      <c r="E114" s="2" t="s">
        <v>211</v>
      </c>
      <c r="F114" s="2">
        <v>83</v>
      </c>
      <c r="G114" s="2" t="s">
        <v>147</v>
      </c>
      <c r="J114" s="1">
        <v>25</v>
      </c>
      <c r="K114" s="2" t="s">
        <v>569</v>
      </c>
      <c r="L114" s="1">
        <f>VLOOKUP($J114,'_Kit Piece'!$A$2:$E$39, 4, FALSE)</f>
        <v>8</v>
      </c>
      <c r="M114" s="2" t="str">
        <f>VLOOKUP($L114,_Kit!$A$2:$B$9, 2, FALSE)</f>
        <v>Cymbal</v>
      </c>
      <c r="N114" s="2" t="s">
        <v>206</v>
      </c>
    </row>
    <row r="115" spans="1:14">
      <c r="A115" s="1">
        <v>114</v>
      </c>
      <c r="B115" s="2" t="s">
        <v>213</v>
      </c>
      <c r="C115" s="2" t="s">
        <v>1064</v>
      </c>
      <c r="D115" s="2">
        <v>43</v>
      </c>
      <c r="E115" s="2" t="s">
        <v>211</v>
      </c>
      <c r="F115" s="2">
        <v>83</v>
      </c>
      <c r="G115" s="2" t="s">
        <v>147</v>
      </c>
      <c r="J115" s="1">
        <v>25</v>
      </c>
      <c r="K115" s="2" t="s">
        <v>569</v>
      </c>
      <c r="L115" s="1">
        <f>VLOOKUP($J115,'_Kit Piece'!$A$2:$E$39, 4, FALSE)</f>
        <v>8</v>
      </c>
      <c r="M115" s="2" t="str">
        <f>VLOOKUP($L115,_Kit!$A$2:$B$9, 2, FALSE)</f>
        <v>Cymbal</v>
      </c>
      <c r="N115" s="2" t="s">
        <v>207</v>
      </c>
    </row>
    <row r="116" spans="1:14">
      <c r="A116" s="1">
        <v>115</v>
      </c>
      <c r="B116" s="2" t="s">
        <v>214</v>
      </c>
      <c r="C116" s="2" t="s">
        <v>1065</v>
      </c>
      <c r="D116" s="2">
        <v>44</v>
      </c>
      <c r="E116" s="2" t="s">
        <v>211</v>
      </c>
      <c r="F116" s="2">
        <v>83</v>
      </c>
      <c r="G116" s="2" t="s">
        <v>147</v>
      </c>
      <c r="J116" s="1">
        <v>25</v>
      </c>
      <c r="K116" s="2" t="s">
        <v>569</v>
      </c>
      <c r="L116" s="1">
        <f>VLOOKUP($J116,'_Kit Piece'!$A$2:$E$39, 4, FALSE)</f>
        <v>8</v>
      </c>
      <c r="M116" s="2" t="str">
        <f>VLOOKUP($L116,_Kit!$A$2:$B$9, 2, FALSE)</f>
        <v>Cymbal</v>
      </c>
      <c r="N116" s="2" t="s">
        <v>208</v>
      </c>
    </row>
    <row r="117" spans="1:14">
      <c r="A117" s="1">
        <v>116</v>
      </c>
      <c r="B117" s="2" t="s">
        <v>215</v>
      </c>
      <c r="C117" s="2" t="s">
        <v>1066</v>
      </c>
      <c r="D117" s="2">
        <v>45</v>
      </c>
      <c r="E117" s="2" t="s">
        <v>211</v>
      </c>
      <c r="F117" s="2">
        <v>83</v>
      </c>
      <c r="G117" s="2" t="s">
        <v>147</v>
      </c>
      <c r="J117" s="1">
        <v>25</v>
      </c>
      <c r="K117" s="2" t="s">
        <v>569</v>
      </c>
      <c r="L117" s="1">
        <f>VLOOKUP($J117,'_Kit Piece'!$A$2:$E$39, 4, FALSE)</f>
        <v>8</v>
      </c>
      <c r="M117" s="2" t="str">
        <f>VLOOKUP($L117,_Kit!$A$2:$B$9, 2, FALSE)</f>
        <v>Cymbal</v>
      </c>
      <c r="N117" s="2" t="s">
        <v>209</v>
      </c>
    </row>
    <row r="118" spans="1:14">
      <c r="A118" s="1">
        <v>117</v>
      </c>
      <c r="B118" s="2" t="s">
        <v>216</v>
      </c>
      <c r="C118" s="2" t="s">
        <v>1067</v>
      </c>
      <c r="D118" s="2">
        <v>46</v>
      </c>
      <c r="E118" s="2" t="s">
        <v>211</v>
      </c>
      <c r="F118" s="2">
        <v>83</v>
      </c>
      <c r="G118" s="2" t="s">
        <v>147</v>
      </c>
      <c r="J118" s="1">
        <v>25</v>
      </c>
      <c r="K118" s="2" t="s">
        <v>569</v>
      </c>
      <c r="L118" s="1">
        <f>VLOOKUP($J118,'_Kit Piece'!$A$2:$E$39, 4, FALSE)</f>
        <v>8</v>
      </c>
      <c r="M118" s="2" t="str">
        <f>VLOOKUP($L118,_Kit!$A$2:$B$9, 2, FALSE)</f>
        <v>Cymbal</v>
      </c>
      <c r="N118" s="2" t="s">
        <v>210</v>
      </c>
    </row>
    <row r="119" spans="1:14">
      <c r="A119" s="1">
        <v>118</v>
      </c>
      <c r="B119" s="2" t="s">
        <v>904</v>
      </c>
      <c r="D119" s="2">
        <v>31</v>
      </c>
      <c r="E119" s="2" t="s">
        <v>217</v>
      </c>
      <c r="F119" s="2">
        <v>85</v>
      </c>
      <c r="G119" s="2" t="s">
        <v>177</v>
      </c>
      <c r="J119" s="1">
        <v>26</v>
      </c>
      <c r="K119" s="2" t="s">
        <v>904</v>
      </c>
      <c r="L119" s="1">
        <f>VLOOKUP($J119,'_Kit Piece'!$A$2:$E$39, 4, FALSE)</f>
        <v>8</v>
      </c>
      <c r="M119" s="2" t="str">
        <f>VLOOKUP($L119,_Kit!$A$2:$B$9, 2, FALSE)</f>
        <v>Cymbal</v>
      </c>
      <c r="N119" s="2" t="s">
        <v>569</v>
      </c>
    </row>
    <row r="120" spans="1:14">
      <c r="A120" s="1">
        <v>119</v>
      </c>
      <c r="B120" s="2" t="s">
        <v>910</v>
      </c>
      <c r="C120" s="2" t="s">
        <v>1057</v>
      </c>
      <c r="D120" s="2">
        <v>32</v>
      </c>
      <c r="E120" s="2" t="s">
        <v>217</v>
      </c>
      <c r="F120" s="2">
        <v>85</v>
      </c>
      <c r="G120" s="2" t="s">
        <v>177</v>
      </c>
      <c r="J120" s="1">
        <v>26</v>
      </c>
      <c r="K120" s="2" t="s">
        <v>904</v>
      </c>
      <c r="L120" s="1">
        <f>VLOOKUP($J120,'_Kit Piece'!$A$2:$E$39, 4, FALSE)</f>
        <v>8</v>
      </c>
      <c r="M120" s="2" t="str">
        <f>VLOOKUP($L120,_Kit!$A$2:$B$9, 2, FALSE)</f>
        <v>Cymbal</v>
      </c>
      <c r="N120" s="2" t="s">
        <v>212</v>
      </c>
    </row>
    <row r="121" spans="1:14">
      <c r="A121" s="1">
        <v>120</v>
      </c>
      <c r="B121" s="2" t="s">
        <v>911</v>
      </c>
      <c r="C121" s="2" t="s">
        <v>1054</v>
      </c>
      <c r="D121" s="2">
        <v>33</v>
      </c>
      <c r="E121" s="2" t="s">
        <v>217</v>
      </c>
      <c r="F121" s="2">
        <v>85</v>
      </c>
      <c r="G121" s="2" t="s">
        <v>177</v>
      </c>
      <c r="J121" s="1">
        <v>26</v>
      </c>
      <c r="K121" s="2" t="s">
        <v>904</v>
      </c>
      <c r="L121" s="1">
        <f>VLOOKUP($J121,'_Kit Piece'!$A$2:$E$39, 4, FALSE)</f>
        <v>8</v>
      </c>
      <c r="M121" s="2" t="str">
        <f>VLOOKUP($L121,_Kit!$A$2:$B$9, 2, FALSE)</f>
        <v>Cymbal</v>
      </c>
      <c r="N121" s="2" t="s">
        <v>213</v>
      </c>
    </row>
    <row r="122" spans="1:14">
      <c r="A122" s="1">
        <v>121</v>
      </c>
      <c r="B122" s="2" t="s">
        <v>912</v>
      </c>
      <c r="C122" s="2" t="s">
        <v>1055</v>
      </c>
      <c r="D122" s="2">
        <v>34</v>
      </c>
      <c r="E122" s="2" t="s">
        <v>217</v>
      </c>
      <c r="F122" s="2">
        <v>85</v>
      </c>
      <c r="G122" s="2" t="s">
        <v>177</v>
      </c>
      <c r="J122" s="1">
        <v>26</v>
      </c>
      <c r="K122" s="2" t="s">
        <v>904</v>
      </c>
      <c r="L122" s="1">
        <f>VLOOKUP($J122,'_Kit Piece'!$A$2:$E$39, 4, FALSE)</f>
        <v>8</v>
      </c>
      <c r="M122" s="2" t="str">
        <f>VLOOKUP($L122,_Kit!$A$2:$B$9, 2, FALSE)</f>
        <v>Cymbal</v>
      </c>
      <c r="N122" s="2" t="s">
        <v>214</v>
      </c>
    </row>
    <row r="123" spans="1:14">
      <c r="A123" s="1">
        <v>122</v>
      </c>
      <c r="B123" s="2" t="s">
        <v>913</v>
      </c>
      <c r="C123" s="2" t="s">
        <v>1056</v>
      </c>
      <c r="D123" s="2">
        <v>35</v>
      </c>
      <c r="E123" s="2" t="s">
        <v>217</v>
      </c>
      <c r="F123" s="2">
        <v>85</v>
      </c>
      <c r="G123" s="2" t="s">
        <v>177</v>
      </c>
      <c r="J123" s="1">
        <v>26</v>
      </c>
      <c r="K123" s="2" t="s">
        <v>904</v>
      </c>
      <c r="L123" s="1">
        <f>VLOOKUP($J123,'_Kit Piece'!$A$2:$E$39, 4, FALSE)</f>
        <v>8</v>
      </c>
      <c r="M123" s="2" t="str">
        <f>VLOOKUP($L123,_Kit!$A$2:$B$9, 2, FALSE)</f>
        <v>Cymbal</v>
      </c>
      <c r="N123" s="2" t="s">
        <v>215</v>
      </c>
    </row>
    <row r="124" spans="1:14">
      <c r="A124" s="1">
        <v>123</v>
      </c>
      <c r="B124" s="2" t="s">
        <v>914</v>
      </c>
      <c r="C124" s="2" t="s">
        <v>1033</v>
      </c>
      <c r="D124" s="2">
        <v>36</v>
      </c>
      <c r="E124" s="2" t="s">
        <v>217</v>
      </c>
      <c r="F124" s="2">
        <v>85</v>
      </c>
      <c r="G124" s="2" t="s">
        <v>177</v>
      </c>
      <c r="J124" s="1">
        <v>26</v>
      </c>
      <c r="K124" s="2" t="s">
        <v>904</v>
      </c>
      <c r="L124" s="1">
        <f>VLOOKUP($J124,'_Kit Piece'!$A$2:$E$39, 4, FALSE)</f>
        <v>8</v>
      </c>
      <c r="M124" s="2" t="str">
        <f>VLOOKUP($L124,_Kit!$A$2:$B$9, 2, FALSE)</f>
        <v>Cymbal</v>
      </c>
      <c r="N124" s="2" t="s">
        <v>216</v>
      </c>
    </row>
    <row r="125" spans="1:14">
      <c r="A125" s="1">
        <v>124</v>
      </c>
      <c r="B125" s="2" t="s">
        <v>920</v>
      </c>
      <c r="D125" s="2">
        <v>37</v>
      </c>
      <c r="E125" s="2" t="s">
        <v>217</v>
      </c>
      <c r="F125" s="2">
        <v>85</v>
      </c>
      <c r="G125" s="2" t="s">
        <v>177</v>
      </c>
      <c r="J125" s="1">
        <v>27</v>
      </c>
      <c r="K125" s="2" t="s">
        <v>906</v>
      </c>
      <c r="L125" s="1">
        <f>VLOOKUP($J125,'_Kit Piece'!$A$2:$E$39, 4, FALSE)</f>
        <v>8</v>
      </c>
      <c r="M125" s="2" t="str">
        <f>VLOOKUP($L125,_Kit!$A$2:$B$9, 2, FALSE)</f>
        <v>Cymbal</v>
      </c>
      <c r="N125" s="2" t="s">
        <v>904</v>
      </c>
    </row>
    <row r="126" spans="1:14">
      <c r="A126" s="1">
        <v>125</v>
      </c>
      <c r="B126" s="2" t="s">
        <v>922</v>
      </c>
      <c r="C126" s="2" t="s">
        <v>1033</v>
      </c>
      <c r="D126" s="2">
        <v>38</v>
      </c>
      <c r="E126" s="2" t="s">
        <v>217</v>
      </c>
      <c r="F126" s="2">
        <v>85</v>
      </c>
      <c r="G126" s="2" t="s">
        <v>177</v>
      </c>
      <c r="J126" s="1">
        <v>27</v>
      </c>
      <c r="K126" s="2" t="s">
        <v>906</v>
      </c>
      <c r="L126" s="1">
        <f>VLOOKUP($J126,'_Kit Piece'!$A$2:$E$39, 4, FALSE)</f>
        <v>8</v>
      </c>
      <c r="M126" s="2" t="str">
        <f>VLOOKUP($L126,_Kit!$A$2:$B$9, 2, FALSE)</f>
        <v>Cymbal</v>
      </c>
      <c r="N126" s="2" t="s">
        <v>914</v>
      </c>
    </row>
    <row r="127" spans="1:14">
      <c r="A127" s="1">
        <v>126</v>
      </c>
      <c r="B127" s="2" t="s">
        <v>923</v>
      </c>
      <c r="D127" s="2">
        <v>39</v>
      </c>
      <c r="E127" s="2" t="s">
        <v>217</v>
      </c>
      <c r="F127" s="2">
        <v>85</v>
      </c>
      <c r="G127" s="2" t="s">
        <v>177</v>
      </c>
      <c r="J127" s="1">
        <v>28</v>
      </c>
      <c r="K127" s="2" t="s">
        <v>907</v>
      </c>
      <c r="L127" s="1">
        <f>VLOOKUP($J127,'_Kit Piece'!$A$2:$E$39, 4, FALSE)</f>
        <v>8</v>
      </c>
      <c r="M127" s="2" t="str">
        <f>VLOOKUP($L127,_Kit!$A$2:$B$9, 2, FALSE)</f>
        <v>Cymbal</v>
      </c>
      <c r="N127" s="2" t="s">
        <v>920</v>
      </c>
    </row>
    <row r="128" spans="1:14">
      <c r="A128" s="1">
        <v>127</v>
      </c>
      <c r="B128" s="2" t="s">
        <v>925</v>
      </c>
      <c r="C128" s="2" t="s">
        <v>1033</v>
      </c>
      <c r="D128" s="2">
        <v>40</v>
      </c>
      <c r="E128" s="2" t="s">
        <v>217</v>
      </c>
      <c r="F128" s="2">
        <v>85</v>
      </c>
      <c r="G128" s="2" t="s">
        <v>177</v>
      </c>
      <c r="J128" s="1">
        <v>28</v>
      </c>
      <c r="K128" s="2" t="s">
        <v>907</v>
      </c>
      <c r="L128" s="1">
        <f>VLOOKUP($J128,'_Kit Piece'!$A$2:$E$39, 4, FALSE)</f>
        <v>8</v>
      </c>
      <c r="M128" s="2" t="str">
        <f>VLOOKUP($L128,_Kit!$A$2:$B$9, 2, FALSE)</f>
        <v>Cymbal</v>
      </c>
      <c r="N128" s="2" t="s">
        <v>922</v>
      </c>
    </row>
    <row r="129" spans="1:14">
      <c r="A129" s="1">
        <v>128</v>
      </c>
      <c r="B129" s="2" t="s">
        <v>905</v>
      </c>
      <c r="D129" s="2">
        <v>22</v>
      </c>
      <c r="E129" s="2" t="s">
        <v>218</v>
      </c>
      <c r="F129" s="2">
        <v>85</v>
      </c>
      <c r="G129" s="2" t="s">
        <v>219</v>
      </c>
      <c r="J129" s="1">
        <v>29</v>
      </c>
      <c r="K129" s="2" t="s">
        <v>905</v>
      </c>
      <c r="L129" s="1">
        <f>VLOOKUP($J129,'_Kit Piece'!$A$2:$E$39, 4, FALSE)</f>
        <v>8</v>
      </c>
      <c r="M129" s="2" t="str">
        <f>VLOOKUP($L129,_Kit!$A$2:$B$9, 2, FALSE)</f>
        <v>Cymbal</v>
      </c>
      <c r="N129" s="2" t="s">
        <v>568</v>
      </c>
    </row>
    <row r="130" spans="1:14">
      <c r="A130" s="1">
        <v>129</v>
      </c>
      <c r="B130" s="2" t="s">
        <v>915</v>
      </c>
      <c r="C130" s="2" t="s">
        <v>1057</v>
      </c>
      <c r="D130" s="2">
        <v>23</v>
      </c>
      <c r="E130" s="2" t="s">
        <v>218</v>
      </c>
      <c r="F130" s="2">
        <v>85</v>
      </c>
      <c r="G130" s="2" t="s">
        <v>219</v>
      </c>
      <c r="J130" s="1">
        <v>29</v>
      </c>
      <c r="K130" s="2" t="s">
        <v>905</v>
      </c>
      <c r="L130" s="1">
        <f>VLOOKUP($J130,'_Kit Piece'!$A$2:$E$39, 4, FALSE)</f>
        <v>8</v>
      </c>
      <c r="M130" s="2" t="str">
        <f>VLOOKUP($L130,_Kit!$A$2:$B$9, 2, FALSE)</f>
        <v>Cymbal</v>
      </c>
      <c r="N130" s="2" t="s">
        <v>206</v>
      </c>
    </row>
    <row r="131" spans="1:14">
      <c r="A131" s="1">
        <v>130</v>
      </c>
      <c r="B131" s="2" t="s">
        <v>916</v>
      </c>
      <c r="C131" s="2" t="s">
        <v>1054</v>
      </c>
      <c r="D131" s="2">
        <v>24</v>
      </c>
      <c r="E131" s="2" t="s">
        <v>218</v>
      </c>
      <c r="F131" s="2">
        <v>85</v>
      </c>
      <c r="G131" s="2" t="s">
        <v>219</v>
      </c>
      <c r="J131" s="1">
        <v>29</v>
      </c>
      <c r="K131" s="2" t="s">
        <v>905</v>
      </c>
      <c r="L131" s="1">
        <f>VLOOKUP($J131,'_Kit Piece'!$A$2:$E$39, 4, FALSE)</f>
        <v>8</v>
      </c>
      <c r="M131" s="2" t="str">
        <f>VLOOKUP($L131,_Kit!$A$2:$B$9, 2, FALSE)</f>
        <v>Cymbal</v>
      </c>
      <c r="N131" s="2" t="s">
        <v>207</v>
      </c>
    </row>
    <row r="132" spans="1:14">
      <c r="A132" s="1">
        <v>131</v>
      </c>
      <c r="B132" s="2" t="s">
        <v>917</v>
      </c>
      <c r="C132" s="2" t="s">
        <v>1055</v>
      </c>
      <c r="D132" s="2">
        <v>25</v>
      </c>
      <c r="E132" s="2" t="s">
        <v>218</v>
      </c>
      <c r="F132" s="2">
        <v>85</v>
      </c>
      <c r="G132" s="2" t="s">
        <v>219</v>
      </c>
      <c r="J132" s="1">
        <v>29</v>
      </c>
      <c r="K132" s="2" t="s">
        <v>905</v>
      </c>
      <c r="L132" s="1">
        <f>VLOOKUP($J132,'_Kit Piece'!$A$2:$E$39, 4, FALSE)</f>
        <v>8</v>
      </c>
      <c r="M132" s="2" t="str">
        <f>VLOOKUP($L132,_Kit!$A$2:$B$9, 2, FALSE)</f>
        <v>Cymbal</v>
      </c>
      <c r="N132" s="2" t="s">
        <v>208</v>
      </c>
    </row>
    <row r="133" spans="1:14">
      <c r="A133" s="1">
        <v>132</v>
      </c>
      <c r="B133" s="2" t="s">
        <v>918</v>
      </c>
      <c r="C133" s="2" t="s">
        <v>1056</v>
      </c>
      <c r="D133" s="2">
        <v>26</v>
      </c>
      <c r="E133" s="2" t="s">
        <v>218</v>
      </c>
      <c r="F133" s="2">
        <v>85</v>
      </c>
      <c r="G133" s="2" t="s">
        <v>219</v>
      </c>
      <c r="J133" s="1">
        <v>29</v>
      </c>
      <c r="K133" s="2" t="s">
        <v>905</v>
      </c>
      <c r="L133" s="1">
        <f>VLOOKUP($J133,'_Kit Piece'!$A$2:$E$39, 4, FALSE)</f>
        <v>8</v>
      </c>
      <c r="M133" s="2" t="str">
        <f>VLOOKUP($L133,_Kit!$A$2:$B$9, 2, FALSE)</f>
        <v>Cymbal</v>
      </c>
      <c r="N133" s="2" t="s">
        <v>209</v>
      </c>
    </row>
    <row r="134" spans="1:14">
      <c r="A134" s="1">
        <v>133</v>
      </c>
      <c r="B134" s="2" t="s">
        <v>919</v>
      </c>
      <c r="C134" s="2" t="s">
        <v>1033</v>
      </c>
      <c r="D134" s="2">
        <v>27</v>
      </c>
      <c r="E134" s="2" t="s">
        <v>218</v>
      </c>
      <c r="F134" s="2">
        <v>85</v>
      </c>
      <c r="G134" s="2" t="s">
        <v>219</v>
      </c>
      <c r="J134" s="1">
        <v>29</v>
      </c>
      <c r="K134" s="2" t="s">
        <v>905</v>
      </c>
      <c r="L134" s="1">
        <f>VLOOKUP($J134,'_Kit Piece'!$A$2:$E$39, 4, FALSE)</f>
        <v>8</v>
      </c>
      <c r="M134" s="2" t="str">
        <f>VLOOKUP($L134,_Kit!$A$2:$B$9, 2, FALSE)</f>
        <v>Cymbal</v>
      </c>
      <c r="N134" s="2" t="s">
        <v>210</v>
      </c>
    </row>
    <row r="135" spans="1:14">
      <c r="A135" s="1">
        <v>134</v>
      </c>
      <c r="B135" s="2" t="s">
        <v>926</v>
      </c>
      <c r="D135" s="2">
        <v>28</v>
      </c>
      <c r="E135" s="2" t="s">
        <v>218</v>
      </c>
      <c r="F135" s="2">
        <v>85</v>
      </c>
      <c r="G135" s="2" t="s">
        <v>219</v>
      </c>
      <c r="J135" s="1">
        <v>30</v>
      </c>
      <c r="K135" s="2" t="s">
        <v>908</v>
      </c>
      <c r="L135" s="1">
        <f>VLOOKUP($J135,'_Kit Piece'!$A$2:$E$39, 4, FALSE)</f>
        <v>8</v>
      </c>
      <c r="M135" s="2" t="str">
        <f>VLOOKUP($L135,_Kit!$A$2:$B$9, 2, FALSE)</f>
        <v>Cymbal</v>
      </c>
      <c r="N135" s="2" t="s">
        <v>905</v>
      </c>
    </row>
    <row r="136" spans="1:14">
      <c r="A136" s="1">
        <v>135</v>
      </c>
      <c r="B136" s="2" t="s">
        <v>932</v>
      </c>
      <c r="C136" s="2" t="s">
        <v>1057</v>
      </c>
      <c r="D136" s="2">
        <v>29</v>
      </c>
      <c r="E136" s="2" t="s">
        <v>218</v>
      </c>
      <c r="F136" s="2">
        <v>85</v>
      </c>
      <c r="G136" s="2" t="s">
        <v>219</v>
      </c>
      <c r="J136" s="1">
        <v>30</v>
      </c>
      <c r="K136" s="2" t="s">
        <v>908</v>
      </c>
      <c r="L136" s="1">
        <f>VLOOKUP($J136,'_Kit Piece'!$A$2:$E$39, 4, FALSE)</f>
        <v>8</v>
      </c>
      <c r="M136" s="2" t="str">
        <f>VLOOKUP($L136,_Kit!$A$2:$B$9, 2, FALSE)</f>
        <v>Cymbal</v>
      </c>
      <c r="N136" s="2" t="s">
        <v>915</v>
      </c>
    </row>
    <row r="137" spans="1:14">
      <c r="A137" s="1">
        <v>136</v>
      </c>
      <c r="B137" s="2" t="s">
        <v>928</v>
      </c>
      <c r="C137" s="2" t="s">
        <v>1033</v>
      </c>
      <c r="D137" s="2">
        <v>30</v>
      </c>
      <c r="E137" s="2" t="s">
        <v>218</v>
      </c>
      <c r="F137" s="2">
        <v>85</v>
      </c>
      <c r="G137" s="2" t="s">
        <v>219</v>
      </c>
      <c r="J137" s="1">
        <v>30</v>
      </c>
      <c r="K137" s="2" t="s">
        <v>908</v>
      </c>
      <c r="L137" s="1">
        <f>VLOOKUP($J137,'_Kit Piece'!$A$2:$E$39, 4, FALSE)</f>
        <v>8</v>
      </c>
      <c r="M137" s="2" t="str">
        <f>VLOOKUP($L137,_Kit!$A$2:$B$9, 2, FALSE)</f>
        <v>Cymbal</v>
      </c>
      <c r="N137" s="2" t="s">
        <v>919</v>
      </c>
    </row>
    <row r="138" spans="1:14">
      <c r="A138" s="1">
        <v>137</v>
      </c>
      <c r="B138" s="2" t="s">
        <v>937</v>
      </c>
      <c r="D138" s="2">
        <v>16</v>
      </c>
      <c r="E138" s="2" t="s">
        <v>220</v>
      </c>
      <c r="F138" s="2">
        <v>86</v>
      </c>
      <c r="G138" s="2" t="s">
        <v>147</v>
      </c>
      <c r="J138" s="1">
        <v>32</v>
      </c>
      <c r="K138" s="2" t="s">
        <v>937</v>
      </c>
      <c r="L138" s="1">
        <f>VLOOKUP($J138,'_Kit Piece'!$A$2:$E$39, 4, FALSE)</f>
        <v>8</v>
      </c>
      <c r="M138" s="2" t="str">
        <f>VLOOKUP($L138,_Kit!$A$2:$B$9, 2, FALSE)</f>
        <v>Cymbal</v>
      </c>
      <c r="N138" s="2" t="s">
        <v>568</v>
      </c>
    </row>
    <row r="139" spans="1:14">
      <c r="A139" s="1">
        <v>138</v>
      </c>
      <c r="B139" s="2" t="s">
        <v>423</v>
      </c>
      <c r="C139" s="2" t="s">
        <v>1057</v>
      </c>
      <c r="D139" s="2">
        <v>17</v>
      </c>
      <c r="E139" s="2" t="s">
        <v>220</v>
      </c>
      <c r="F139" s="2">
        <v>86</v>
      </c>
      <c r="G139" s="2" t="s">
        <v>147</v>
      </c>
      <c r="J139" s="1">
        <v>32</v>
      </c>
      <c r="K139" s="2" t="s">
        <v>937</v>
      </c>
      <c r="L139" s="1">
        <f>VLOOKUP($J139,'_Kit Piece'!$A$2:$E$39, 4, FALSE)</f>
        <v>8</v>
      </c>
      <c r="M139" s="2" t="str">
        <f>VLOOKUP($L139,_Kit!$A$2:$B$9, 2, FALSE)</f>
        <v>Cymbal</v>
      </c>
      <c r="N139" s="2" t="s">
        <v>206</v>
      </c>
    </row>
    <row r="140" spans="1:14">
      <c r="A140" s="1">
        <v>139</v>
      </c>
      <c r="B140" s="2" t="s">
        <v>465</v>
      </c>
      <c r="C140" s="2" t="s">
        <v>1054</v>
      </c>
      <c r="D140" s="2">
        <v>18</v>
      </c>
      <c r="E140" s="2" t="s">
        <v>220</v>
      </c>
      <c r="F140" s="2">
        <v>86</v>
      </c>
      <c r="G140" s="2" t="s">
        <v>147</v>
      </c>
      <c r="J140" s="1">
        <v>32</v>
      </c>
      <c r="K140" s="2" t="s">
        <v>937</v>
      </c>
      <c r="L140" s="1">
        <f>VLOOKUP($J140,'_Kit Piece'!$A$2:$E$39, 4, FALSE)</f>
        <v>8</v>
      </c>
      <c r="M140" s="2" t="str">
        <f>VLOOKUP($L140,_Kit!$A$2:$B$9, 2, FALSE)</f>
        <v>Cymbal</v>
      </c>
      <c r="N140" s="2" t="s">
        <v>207</v>
      </c>
    </row>
    <row r="141" spans="1:14">
      <c r="A141" s="1">
        <v>140</v>
      </c>
      <c r="B141" s="2" t="s">
        <v>466</v>
      </c>
      <c r="C141" s="2" t="s">
        <v>1055</v>
      </c>
      <c r="D141" s="2">
        <v>19</v>
      </c>
      <c r="E141" s="2" t="s">
        <v>220</v>
      </c>
      <c r="F141" s="2">
        <v>86</v>
      </c>
      <c r="G141" s="2" t="s">
        <v>147</v>
      </c>
      <c r="J141" s="1">
        <v>32</v>
      </c>
      <c r="K141" s="2" t="s">
        <v>937</v>
      </c>
      <c r="L141" s="1">
        <f>VLOOKUP($J141,'_Kit Piece'!$A$2:$E$39, 4, FALSE)</f>
        <v>8</v>
      </c>
      <c r="M141" s="2" t="str">
        <f>VLOOKUP($L141,_Kit!$A$2:$B$9, 2, FALSE)</f>
        <v>Cymbal</v>
      </c>
      <c r="N141" s="2" t="s">
        <v>208</v>
      </c>
    </row>
    <row r="142" spans="1:14">
      <c r="A142" s="1">
        <v>141</v>
      </c>
      <c r="B142" s="2" t="s">
        <v>463</v>
      </c>
      <c r="C142" s="2" t="s">
        <v>1056</v>
      </c>
      <c r="D142" s="2">
        <v>20</v>
      </c>
      <c r="E142" s="2" t="s">
        <v>220</v>
      </c>
      <c r="F142" s="2">
        <v>86</v>
      </c>
      <c r="G142" s="2" t="s">
        <v>147</v>
      </c>
      <c r="J142" s="1">
        <v>32</v>
      </c>
      <c r="K142" s="2" t="s">
        <v>937</v>
      </c>
      <c r="L142" s="1">
        <f>VLOOKUP($J142,'_Kit Piece'!$A$2:$E$39, 4, FALSE)</f>
        <v>8</v>
      </c>
      <c r="M142" s="2" t="str">
        <f>VLOOKUP($L142,_Kit!$A$2:$B$9, 2, FALSE)</f>
        <v>Cymbal</v>
      </c>
      <c r="N142" s="2" t="s">
        <v>209</v>
      </c>
    </row>
    <row r="143" spans="1:14">
      <c r="A143" s="1">
        <v>142</v>
      </c>
      <c r="B143" s="2" t="s">
        <v>384</v>
      </c>
      <c r="C143" s="2" t="s">
        <v>1033</v>
      </c>
      <c r="D143" s="2">
        <v>21</v>
      </c>
      <c r="E143" s="2" t="s">
        <v>220</v>
      </c>
      <c r="F143" s="2">
        <v>86</v>
      </c>
      <c r="G143" s="2" t="s">
        <v>147</v>
      </c>
      <c r="J143" s="1">
        <v>32</v>
      </c>
      <c r="K143" s="2" t="s">
        <v>937</v>
      </c>
      <c r="L143" s="1">
        <f>VLOOKUP($J143,'_Kit Piece'!$A$2:$E$39, 4, FALSE)</f>
        <v>8</v>
      </c>
      <c r="M143" s="2" t="str">
        <f>VLOOKUP($L143,_Kit!$A$2:$B$9, 2, FALSE)</f>
        <v>Cymbal</v>
      </c>
      <c r="N143" s="2" t="s">
        <v>210</v>
      </c>
    </row>
    <row r="144" spans="1:14">
      <c r="A144" s="1">
        <v>143</v>
      </c>
      <c r="B144" s="2" t="s">
        <v>944</v>
      </c>
      <c r="D144" s="2">
        <v>10</v>
      </c>
      <c r="E144" s="2" t="s">
        <v>221</v>
      </c>
      <c r="F144" s="2">
        <v>88</v>
      </c>
      <c r="G144" s="2" t="s">
        <v>147</v>
      </c>
      <c r="J144" s="1">
        <v>33</v>
      </c>
      <c r="K144" s="2" t="s">
        <v>944</v>
      </c>
      <c r="L144" s="1">
        <f>VLOOKUP($J144,'_Kit Piece'!$A$2:$E$39, 4, FALSE)</f>
        <v>8</v>
      </c>
      <c r="M144" s="2" t="str">
        <f>VLOOKUP($L144,_Kit!$A$2:$B$9, 2, FALSE)</f>
        <v>Cymbal</v>
      </c>
      <c r="N144" s="2" t="s">
        <v>937</v>
      </c>
    </row>
    <row r="145" spans="1:14">
      <c r="A145" s="1">
        <v>144</v>
      </c>
      <c r="B145" s="2" t="s">
        <v>420</v>
      </c>
      <c r="C145" s="2" t="s">
        <v>1057</v>
      </c>
      <c r="D145" s="2">
        <v>11</v>
      </c>
      <c r="E145" s="2" t="s">
        <v>221</v>
      </c>
      <c r="F145" s="2">
        <v>86</v>
      </c>
      <c r="G145" s="2" t="s">
        <v>147</v>
      </c>
      <c r="J145" s="1">
        <v>33</v>
      </c>
      <c r="K145" s="2" t="s">
        <v>944</v>
      </c>
      <c r="L145" s="1">
        <f>VLOOKUP($J145,'_Kit Piece'!$A$2:$E$39, 4, FALSE)</f>
        <v>8</v>
      </c>
      <c r="M145" s="2" t="str">
        <f>VLOOKUP($L145,_Kit!$A$2:$B$9, 2, FALSE)</f>
        <v>Cymbal</v>
      </c>
      <c r="N145" s="2" t="s">
        <v>423</v>
      </c>
    </row>
    <row r="146" spans="1:14">
      <c r="A146" s="1">
        <v>145</v>
      </c>
      <c r="B146" s="2" t="s">
        <v>467</v>
      </c>
      <c r="C146" s="2" t="s">
        <v>1054</v>
      </c>
      <c r="D146" s="2">
        <v>12</v>
      </c>
      <c r="E146" s="2" t="s">
        <v>221</v>
      </c>
      <c r="F146" s="2">
        <v>86</v>
      </c>
      <c r="G146" s="2" t="s">
        <v>147</v>
      </c>
      <c r="J146" s="1">
        <v>33</v>
      </c>
      <c r="K146" s="2" t="s">
        <v>944</v>
      </c>
      <c r="L146" s="1">
        <f>VLOOKUP($J146,'_Kit Piece'!$A$2:$E$39, 4, FALSE)</f>
        <v>8</v>
      </c>
      <c r="M146" s="2" t="str">
        <f>VLOOKUP($L146,_Kit!$A$2:$B$9, 2, FALSE)</f>
        <v>Cymbal</v>
      </c>
      <c r="N146" s="2" t="s">
        <v>465</v>
      </c>
    </row>
    <row r="147" spans="1:14">
      <c r="A147" s="1">
        <v>146</v>
      </c>
      <c r="B147" s="2" t="s">
        <v>468</v>
      </c>
      <c r="C147" s="2" t="s">
        <v>1055</v>
      </c>
      <c r="D147" s="2">
        <v>13</v>
      </c>
      <c r="E147" s="2" t="s">
        <v>221</v>
      </c>
      <c r="F147" s="2">
        <v>86</v>
      </c>
      <c r="G147" s="2" t="s">
        <v>147</v>
      </c>
      <c r="J147" s="1">
        <v>33</v>
      </c>
      <c r="K147" s="2" t="s">
        <v>944</v>
      </c>
      <c r="L147" s="1">
        <f>VLOOKUP($J147,'_Kit Piece'!$A$2:$E$39, 4, FALSE)</f>
        <v>8</v>
      </c>
      <c r="M147" s="2" t="str">
        <f>VLOOKUP($L147,_Kit!$A$2:$B$9, 2, FALSE)</f>
        <v>Cymbal</v>
      </c>
      <c r="N147" s="2" t="s">
        <v>466</v>
      </c>
    </row>
    <row r="148" spans="1:14">
      <c r="A148" s="1">
        <v>147</v>
      </c>
      <c r="B148" s="2" t="s">
        <v>464</v>
      </c>
      <c r="C148" s="2" t="s">
        <v>1056</v>
      </c>
      <c r="D148" s="2">
        <v>14</v>
      </c>
      <c r="E148" s="2" t="s">
        <v>221</v>
      </c>
      <c r="F148" s="2">
        <v>86</v>
      </c>
      <c r="G148" s="2" t="s">
        <v>147</v>
      </c>
      <c r="J148" s="1">
        <v>33</v>
      </c>
      <c r="K148" s="2" t="s">
        <v>944</v>
      </c>
      <c r="L148" s="1">
        <f>VLOOKUP($J148,'_Kit Piece'!$A$2:$E$39, 4, FALSE)</f>
        <v>8</v>
      </c>
      <c r="M148" s="2" t="str">
        <f>VLOOKUP($L148,_Kit!$A$2:$B$9, 2, FALSE)</f>
        <v>Cymbal</v>
      </c>
      <c r="N148" s="2" t="s">
        <v>463</v>
      </c>
    </row>
    <row r="149" spans="1:14">
      <c r="A149" s="1">
        <v>148</v>
      </c>
      <c r="B149" s="2" t="s">
        <v>385</v>
      </c>
      <c r="C149" s="2" t="s">
        <v>1033</v>
      </c>
      <c r="D149" s="2">
        <v>15</v>
      </c>
      <c r="E149" s="2" t="s">
        <v>221</v>
      </c>
      <c r="F149" s="2">
        <v>86</v>
      </c>
      <c r="G149" s="2" t="s">
        <v>147</v>
      </c>
      <c r="J149" s="1">
        <v>33</v>
      </c>
      <c r="K149" s="2" t="s">
        <v>944</v>
      </c>
      <c r="L149" s="1">
        <f>VLOOKUP($J149,'_Kit Piece'!$A$2:$E$39, 4, FALSE)</f>
        <v>8</v>
      </c>
      <c r="M149" s="2" t="str">
        <f>VLOOKUP($L149,_Kit!$A$2:$B$9, 2, FALSE)</f>
        <v>Cymbal</v>
      </c>
      <c r="N149" s="2" t="s">
        <v>384</v>
      </c>
    </row>
    <row r="150" spans="1:14">
      <c r="A150" s="1">
        <v>149</v>
      </c>
      <c r="B150" s="2" t="s">
        <v>950</v>
      </c>
      <c r="D150" s="2">
        <v>8</v>
      </c>
      <c r="E150" s="2" t="s">
        <v>222</v>
      </c>
      <c r="F150" s="2">
        <v>89</v>
      </c>
      <c r="G150" s="2" t="s">
        <v>147</v>
      </c>
      <c r="J150" s="1">
        <v>34</v>
      </c>
      <c r="K150" s="2" t="s">
        <v>950</v>
      </c>
      <c r="L150" s="1">
        <f>VLOOKUP($J150,'_Kit Piece'!$A$2:$E$39, 4, FALSE)</f>
        <v>8</v>
      </c>
      <c r="M150" s="2" t="str">
        <f>VLOOKUP($L150,_Kit!$A$2:$B$9, 2, FALSE)</f>
        <v>Cymbal</v>
      </c>
      <c r="N150" s="2" t="s">
        <v>944</v>
      </c>
    </row>
    <row r="151" spans="1:14">
      <c r="A151" s="1">
        <v>150</v>
      </c>
      <c r="B151" s="2" t="s">
        <v>951</v>
      </c>
      <c r="C151" s="2" t="s">
        <v>1033</v>
      </c>
      <c r="D151" s="2">
        <v>9</v>
      </c>
      <c r="E151" s="2" t="s">
        <v>222</v>
      </c>
      <c r="F151" s="2">
        <v>87</v>
      </c>
      <c r="G151" s="2" t="s">
        <v>147</v>
      </c>
      <c r="J151" s="1">
        <v>34</v>
      </c>
      <c r="K151" s="2" t="s">
        <v>950</v>
      </c>
      <c r="L151" s="1">
        <f>VLOOKUP($J151,'_Kit Piece'!$A$2:$E$39, 4, FALSE)</f>
        <v>8</v>
      </c>
      <c r="M151" s="2" t="str">
        <f>VLOOKUP($L151,_Kit!$A$2:$B$9, 2, FALSE)</f>
        <v>Cymbal</v>
      </c>
      <c r="N151" s="2" t="s">
        <v>1016</v>
      </c>
    </row>
    <row r="152" spans="1:14">
      <c r="A152" s="1">
        <v>151</v>
      </c>
      <c r="B152" s="2" t="s">
        <v>959</v>
      </c>
      <c r="D152" s="2">
        <v>6</v>
      </c>
      <c r="E152" s="2" t="s">
        <v>223</v>
      </c>
      <c r="F152" s="2">
        <v>91</v>
      </c>
      <c r="G152" s="2" t="s">
        <v>147</v>
      </c>
      <c r="J152" s="1">
        <v>35</v>
      </c>
      <c r="K152" s="2" t="s">
        <v>959</v>
      </c>
      <c r="L152" s="1">
        <f>VLOOKUP($J152,'_Kit Piece'!$A$2:$E$39, 4, FALSE)</f>
        <v>8</v>
      </c>
      <c r="M152" s="2" t="str">
        <f>VLOOKUP($L152,_Kit!$A$2:$B$9, 2, FALSE)</f>
        <v>Cymbal</v>
      </c>
      <c r="N152" s="2" t="s">
        <v>950</v>
      </c>
    </row>
    <row r="153" spans="1:14">
      <c r="A153" s="1">
        <v>152</v>
      </c>
      <c r="B153" s="2" t="s">
        <v>960</v>
      </c>
      <c r="C153" s="2" t="s">
        <v>1033</v>
      </c>
      <c r="D153" s="2">
        <v>7</v>
      </c>
      <c r="E153" s="2" t="s">
        <v>223</v>
      </c>
      <c r="F153" s="2">
        <v>87</v>
      </c>
      <c r="G153" s="2" t="s">
        <v>147</v>
      </c>
      <c r="J153" s="1">
        <v>35</v>
      </c>
      <c r="K153" s="2" t="s">
        <v>959</v>
      </c>
      <c r="L153" s="1">
        <f>VLOOKUP($J153,'_Kit Piece'!$A$2:$E$39, 4, FALSE)</f>
        <v>8</v>
      </c>
      <c r="M153" s="2" t="str">
        <f>VLOOKUP($L153,_Kit!$A$2:$B$9, 2, FALSE)</f>
        <v>Cymbal</v>
      </c>
      <c r="N153" s="2" t="s">
        <v>951</v>
      </c>
    </row>
    <row r="154" spans="1:14">
      <c r="A154" s="1">
        <v>153</v>
      </c>
      <c r="B154" s="2" t="s">
        <v>965</v>
      </c>
      <c r="D154" s="2">
        <v>5</v>
      </c>
      <c r="E154" s="2" t="s">
        <v>224</v>
      </c>
      <c r="F154" s="2">
        <v>87</v>
      </c>
      <c r="G154" s="2" t="s">
        <v>219</v>
      </c>
      <c r="J154" s="1">
        <v>36</v>
      </c>
      <c r="K154" s="2" t="s">
        <v>965</v>
      </c>
      <c r="L154" s="1">
        <f>VLOOKUP($J154,'_Kit Piece'!$A$2:$E$39, 4, FALSE)</f>
        <v>8</v>
      </c>
      <c r="M154" s="2" t="str">
        <f>VLOOKUP($L154,_Kit!$A$2:$B$9, 2, FALSE)</f>
        <v>Cymbal</v>
      </c>
      <c r="N154" s="2" t="s">
        <v>959</v>
      </c>
    </row>
    <row r="155" spans="1:14">
      <c r="A155" s="1">
        <v>154</v>
      </c>
      <c r="B155" s="2" t="s">
        <v>934</v>
      </c>
      <c r="D155" s="2">
        <v>2</v>
      </c>
      <c r="E155" s="2" t="s">
        <v>220</v>
      </c>
      <c r="F155" s="2">
        <v>86</v>
      </c>
      <c r="G155" s="2" t="s">
        <v>147</v>
      </c>
      <c r="J155" s="1">
        <v>37</v>
      </c>
      <c r="K155" s="2" t="s">
        <v>933</v>
      </c>
      <c r="L155" s="1">
        <f>VLOOKUP($J155,'_Kit Piece'!$A$2:$E$39, 4, FALSE)</f>
        <v>8</v>
      </c>
      <c r="M155" s="2" t="str">
        <f>VLOOKUP($L155,_Kit!$A$2:$B$9, 2, FALSE)</f>
        <v>Cymbal</v>
      </c>
      <c r="N155" s="2" t="s">
        <v>904</v>
      </c>
    </row>
    <row r="156" spans="1:14">
      <c r="A156" s="1">
        <v>155</v>
      </c>
      <c r="B156" s="2" t="s">
        <v>935</v>
      </c>
      <c r="C156" s="2" t="s">
        <v>1032</v>
      </c>
      <c r="D156" s="2">
        <v>3</v>
      </c>
      <c r="E156" s="2" t="s">
        <v>220</v>
      </c>
      <c r="F156" s="2">
        <v>86</v>
      </c>
      <c r="G156" s="2" t="s">
        <v>147</v>
      </c>
      <c r="J156" s="1">
        <v>37</v>
      </c>
      <c r="K156" s="2" t="s">
        <v>933</v>
      </c>
      <c r="L156" s="1">
        <f>VLOOKUP($J156,'_Kit Piece'!$A$2:$E$39, 4, FALSE)</f>
        <v>8</v>
      </c>
      <c r="M156" s="2" t="str">
        <f>VLOOKUP($L156,_Kit!$A$2:$B$9, 2, FALSE)</f>
        <v>Cymbal</v>
      </c>
      <c r="N156" s="2" t="s">
        <v>911</v>
      </c>
    </row>
    <row r="157" spans="1:14">
      <c r="A157" s="1">
        <v>156</v>
      </c>
      <c r="B157" s="2" t="s">
        <v>936</v>
      </c>
      <c r="C157" s="2" t="s">
        <v>1033</v>
      </c>
      <c r="D157" s="2">
        <v>4</v>
      </c>
      <c r="E157" s="2" t="s">
        <v>220</v>
      </c>
      <c r="F157" s="2">
        <v>86</v>
      </c>
      <c r="G157" s="2" t="s">
        <v>147</v>
      </c>
      <c r="J157" s="1">
        <v>37</v>
      </c>
      <c r="K157" s="2" t="s">
        <v>933</v>
      </c>
      <c r="L157" s="1">
        <f>VLOOKUP($J157,'_Kit Piece'!$A$2:$E$39, 4, FALSE)</f>
        <v>8</v>
      </c>
      <c r="M157" s="2" t="str">
        <f>VLOOKUP($L157,_Kit!$A$2:$B$9, 2, FALSE)</f>
        <v>Cymbal</v>
      </c>
      <c r="N157" s="2" t="s">
        <v>914</v>
      </c>
    </row>
    <row r="158" spans="1:14">
      <c r="A158" s="1">
        <v>157</v>
      </c>
      <c r="B158" s="2" t="s">
        <v>1014</v>
      </c>
      <c r="D158" s="2">
        <v>1</v>
      </c>
      <c r="E158" s="2" t="s">
        <v>225</v>
      </c>
      <c r="F158" s="2">
        <v>87</v>
      </c>
      <c r="G158" s="2" t="s">
        <v>177</v>
      </c>
      <c r="J158" s="1">
        <v>38</v>
      </c>
      <c r="K158" s="2" t="s">
        <v>1013</v>
      </c>
      <c r="L158" s="1">
        <f>VLOOKUP($J158,'_Kit Piece'!$A$2:$E$39, 4, FALSE)</f>
        <v>8</v>
      </c>
      <c r="M158" s="2" t="str">
        <f>VLOOKUP($L158,_Kit!$A$2:$B$9, 2, FALSE)</f>
        <v>Cymbal</v>
      </c>
      <c r="N158" s="2" t="s">
        <v>965</v>
      </c>
    </row>
  </sheetData>
  <autoFilter ref="A1:M158" xr:uid="{E6DF9C46-B8F0-4D95-9B18-A92B5BA16BE3}"/>
  <sortState xmlns:xlrd2="http://schemas.microsoft.com/office/spreadsheetml/2017/richdata2" ref="A2:N159">
    <sortCondition ref="A2:A159"/>
  </sortState>
  <phoneticPr fontId="1"/>
  <dataValidations count="1">
    <dataValidation type="list" allowBlank="1" showInputMessage="1" showErrorMessage="1" sqref="N14 N146 N147 N148 N149 N150 N151 N152 N153 N154 N155 N156 N157 N2 N3 N4 N5 N6 N7 N8 N9 N10 N11 N12 N13 N15 N16 N17 N18 N19 N20 N21 N22 N23 N24 N25 N26 N27 N28 N29 N30 N31 N32 N33 N34 N35 N36 N37 N38 N39 N40 N41 N42 N43 N44 N45 N46 N47 N48 N49 N50 N51 N52 N53 N54 N55 N56 N57 N58 N59 N60 N61 N62 N63 N64 N65 N66 N67 N68 N69 N70 N71 N72 N73 N74 N75 N76 N77 N78 N79 N80 N81 N82 N83 N84 N85 N86 N87 N88 N89 N90 N91 N92 N93 N94 N95 N96 N97 N98 N99 N100 N101 N102 N103 N104 N105 N106 N107 N108 N109 N110 N111 N112 N113 N114 N115 N116 N117 N118 N119 N120 N121 N122 N123 N124 N125 N126 N127 N128 N129 N130 N131 N132 N133 N134 N135 N136 N137 N138 N139 N140 N141 N142 N143 N144 N145 N158" xr:uid="{E97ECB90-5754-4701-91C0-0FBD6D43EF0A}">
      <formula1>$B$2:$B$158</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91CE5ACA-2B57-4011-968D-9E63206613FE}">
          <x14:formula1>
            <xm:f>_NoteHead!$A$1:$A$6</xm:f>
          </x14:formula1>
          <xm:sqref>G146 G147 G148 G149 G150 G151 G152 G153 G154 G155 G156 G157 G2 G3 G4 G5 G6 G7 G8 G9 G10 G11 G12 G13 G14 G15 G16 G17 G18 G19 G20 G21 G22 G23 G24 G25 G26 G27 G28 G29 G30 G31 G32 G33 G34 G35 G36 G37 G38 G39 G40 G41 G42 G43 G44 G45 G46 G47 G48 G49 G50 G51 G52 G53 G54 G55 G56 G57 G58 G59 G60 G61 G62 G63 G64 G65 G66 G67 G68 G69 G70 G71 G72 G73 G74 G75 G76 G77 G78 G79 G80 G81 G82 G83 G84 G85 G86 G87 G88 G89 G90 G91 G92 G93 G94 G95 G96 G97 G98 G99 G100 G101 G102 G103 G104 G105 G106 G107 G108 G109 G110 G111 G112 G113 G114 G115 G116 G117 G118 G119 G120 G121 G122 G123 G124 G125 G126 G127 G128 G129 G130 G131 G132 G133 G134 G135 G136 G137 G138 G139 G140 G141 G142 G143 G144 G145 G158</xm:sqref>
        </x14:dataValidation>
        <x14:dataValidation type="list" allowBlank="1" showInputMessage="1" showErrorMessage="1" xr:uid="{ED8781DD-72EE-4893-857C-33095118287F}">
          <x14:formula1>
            <xm:f>_Techniq!$A$1:$A$8</xm:f>
          </x14:formula1>
          <xm:sqref>H146 H147 H148 H149 H150 H151 H152 H153 H154 H155 H156 H157 H2 H3 H4 H5 H6 H7 H8 H9 H10 H11 H12 H13 H14 H15 H16 H17 H18 H19 H20 H21 H22 H23 H24 H25 H26 H27 H28 H29 H30 H31 H32 H33 H34 H35 H36 H37 H38 H39 H40 H41 H42 H43 H44 H45 H46 H47 H48 H49 H50 H51 H52 H53 H54 H55 H56 H57 H58 H59 H60 H61 H62 H63 H64 H65 H66 H67 H68 H69 H70 H71 H72 H73 H74 H75 H76 H77 H78 H79 H80 H81 H82 H83 H84 H85 H86 H87 H88 H89 H90 H91 H92 H93 H94 H95 H96 H97 H98 H99 H100 H101 H102 H103 H104 H105 H106 H107 H108 H109 H110 H111 H112 H113 H114 H115 H116 H117 H118 H119 H120 H121 H122 H123 H124 H125 H126 H127 H128 H129 H130 H131 H132 H133 H134 H135 H136 H137 H138 H139 H140 H141 H142 H143 H144 H145 H158</xm:sqref>
        </x14:dataValidation>
        <x14:dataValidation type="list" allowBlank="1" showInputMessage="1" showErrorMessage="1" xr:uid="{43FBF509-A106-4CC7-A4E5-E9B45A3462EC}">
          <x14:formula1>
            <xm:f>'_Kit Piece'!$B$2:$B$39</xm:f>
          </x14:formula1>
          <xm:sqref>K146 K147 K148 K149 K150 K151 K152 K153 K154 K155 K156 K157 K2 K3 K4 K5 K6 K7 K8 K9 K10 K11 K12 K13 K14 K15 K16 K17 K18 K19 K20 K21 K22 K23 K24 K25 K26 K27 K28 K29 K30 K31 K32 K33 K34 K35 K36 K37 K38 K39 K40 K41 K42 K43 K44 K45 K46 K47 K48 K49 K50 K51 K52 K53 K54 K55 K56 K57 K58 K59 K60 K61 K62 K63 K64 K65 K66 K67 K68 K69 K70 K71 K72 K73 K74 K75 K76 K77 K78 K79 K80 K81 K82 K83 K84 K85 K86 K87 K88 K89 K90 K91 K92 K93 K94 K95 K96 K97 K98 K99 K100 K101 K102 K103 K104 K105 K106 K107 K108 K109 K110 K111 K112 K113 K114 K115 K116 K117 K118 K119 K120 K121 K122 K123 K124 K125 K126 K127 K128 K129 K130 K131 K132 K133 K134 K135 K136 K137 K138 K139 K140 K141 K142 K143 K144 K145 K158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FC59C0-1060-409C-8FD8-9785E3B2A82B}">
  <sheetPr codeName="Sheet20"/>
  <dimension ref="A1"/>
  <sheetViews>
    <sheetView tabSelected="1" workbookViewId="0">
      <selection activeCell="B11" sqref="B11"/>
    </sheetView>
  </sheetViews>
  <sheetFormatPr defaultRowHeight="13.5"/>
  <cols>
    <col min="1" max="1" width="29.375" bestFit="1" customWidth="1"/>
    <col min="2" max="2" width="145.875" bestFit="1" customWidth="1"/>
  </cols>
  <sheetData/>
  <phoneticPr fontId="1"/>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E59806-E4D5-4E68-9D89-E32EFF4B2C94}">
  <sheetPr codeName="Sheet17"/>
  <dimension ref="A1:K81"/>
  <sheetViews>
    <sheetView workbookViewId="0">
      <pane ySplit="1" topLeftCell="A2" activePane="bottomLeft" state="frozen"/>
      <selection pane="bottomLeft" activeCell="A2" sqref="A2:K81"/>
    </sheetView>
  </sheetViews>
  <sheetFormatPr defaultColWidth="4.375" defaultRowHeight="13.5"/>
  <cols>
    <col min="1" max="1" width="6.5" bestFit="1" customWidth="1"/>
    <col min="2" max="2" width="8.5" bestFit="1" customWidth="1"/>
    <col min="3" max="3" width="41.625" bestFit="1" customWidth="1"/>
    <col min="4" max="4" width="21.625" bestFit="1" customWidth="1"/>
    <col min="5" max="5" width="13.875" bestFit="1" customWidth="1"/>
    <col min="6" max="6" width="6.5" bestFit="1" customWidth="1"/>
    <col min="7" max="7" width="9.5" bestFit="1" customWidth="1"/>
    <col min="8" max="8" width="11.625" bestFit="1" customWidth="1"/>
    <col min="9" max="9" width="9.5" bestFit="1" customWidth="1"/>
    <col min="10" max="10" width="8.5" bestFit="1" customWidth="1"/>
    <col min="11" max="11" width="11.625" bestFit="1" customWidth="1"/>
  </cols>
  <sheetData>
    <row r="1" spans="1:11" ht="78" customHeight="1">
      <c r="A1" t="s">
        <v>1092</v>
      </c>
      <c r="B1" t="s">
        <v>1093</v>
      </c>
      <c r="C1" t="s">
        <v>1094</v>
      </c>
      <c r="D1" t="s">
        <v>1095</v>
      </c>
      <c r="E1" t="s">
        <v>1096</v>
      </c>
      <c r="F1" t="s">
        <v>1097</v>
      </c>
      <c r="G1" t="s">
        <v>1098</v>
      </c>
      <c r="H1" t="s">
        <v>1099</v>
      </c>
      <c r="I1" t="s">
        <v>1100</v>
      </c>
      <c r="J1" t="s">
        <v>1101</v>
      </c>
      <c r="K1" t="s">
        <v>1102</v>
      </c>
    </row>
    <row r="2" spans="1:11">
      <c r="A2">
        <v>8</v>
      </c>
      <c r="B2">
        <v>91</v>
      </c>
      <c r="C2" t="s">
        <v>965</v>
      </c>
      <c r="D2" t="s">
        <v>1141</v>
      </c>
      <c r="G2" t="s">
        <v>222</v>
      </c>
      <c r="H2">
        <v>89</v>
      </c>
      <c r="I2" t="s">
        <v>147</v>
      </c>
    </row>
    <row r="3" spans="1:11">
      <c r="A3">
        <v>9</v>
      </c>
      <c r="B3">
        <v>92</v>
      </c>
      <c r="C3" t="s">
        <v>966</v>
      </c>
      <c r="D3" t="s">
        <v>1142</v>
      </c>
      <c r="E3" t="s">
        <v>1033</v>
      </c>
      <c r="G3" t="s">
        <v>222</v>
      </c>
      <c r="H3">
        <v>87</v>
      </c>
      <c r="I3" t="s">
        <v>147</v>
      </c>
    </row>
    <row r="4" spans="1:11">
      <c r="A4">
        <v>10</v>
      </c>
      <c r="B4">
        <v>89</v>
      </c>
      <c r="C4" t="s">
        <v>959</v>
      </c>
      <c r="D4" t="s">
        <v>1140</v>
      </c>
      <c r="G4" t="s">
        <v>221</v>
      </c>
      <c r="H4">
        <v>88</v>
      </c>
      <c r="I4" t="s">
        <v>147</v>
      </c>
    </row>
    <row r="5" spans="1:11">
      <c r="A5">
        <v>15</v>
      </c>
      <c r="B5">
        <v>90</v>
      </c>
      <c r="C5" t="s">
        <v>960</v>
      </c>
      <c r="D5" t="s">
        <v>1016</v>
      </c>
      <c r="E5" t="s">
        <v>1033</v>
      </c>
      <c r="G5" t="s">
        <v>221</v>
      </c>
      <c r="H5">
        <v>86</v>
      </c>
      <c r="I5" t="s">
        <v>147</v>
      </c>
    </row>
    <row r="6" spans="1:11">
      <c r="A6">
        <v>22</v>
      </c>
      <c r="B6">
        <v>81</v>
      </c>
      <c r="C6" t="s">
        <v>950</v>
      </c>
      <c r="D6" t="s">
        <v>1134</v>
      </c>
      <c r="G6" t="s">
        <v>218</v>
      </c>
      <c r="H6">
        <v>85</v>
      </c>
      <c r="I6" t="s">
        <v>219</v>
      </c>
    </row>
    <row r="7" spans="1:11">
      <c r="A7">
        <v>27</v>
      </c>
      <c r="B7">
        <v>82</v>
      </c>
      <c r="C7" t="s">
        <v>951</v>
      </c>
      <c r="D7" t="s">
        <v>1135</v>
      </c>
      <c r="E7" t="s">
        <v>1033</v>
      </c>
      <c r="G7" t="s">
        <v>218</v>
      </c>
      <c r="H7">
        <v>85</v>
      </c>
      <c r="I7" t="s">
        <v>219</v>
      </c>
    </row>
    <row r="8" spans="1:11">
      <c r="A8">
        <v>31</v>
      </c>
      <c r="B8">
        <v>93</v>
      </c>
      <c r="C8" t="s">
        <v>973</v>
      </c>
      <c r="D8" t="s">
        <v>1143</v>
      </c>
      <c r="G8" t="s">
        <v>217</v>
      </c>
      <c r="H8">
        <v>85</v>
      </c>
      <c r="I8" t="s">
        <v>177</v>
      </c>
    </row>
    <row r="9" spans="1:11">
      <c r="A9">
        <v>36</v>
      </c>
      <c r="B9">
        <v>94</v>
      </c>
      <c r="C9" t="s">
        <v>974</v>
      </c>
      <c r="D9" t="s">
        <v>1144</v>
      </c>
      <c r="E9" t="s">
        <v>1033</v>
      </c>
      <c r="G9" t="s">
        <v>217</v>
      </c>
      <c r="H9">
        <v>85</v>
      </c>
      <c r="I9" t="s">
        <v>177</v>
      </c>
    </row>
    <row r="10" spans="1:11">
      <c r="A10">
        <v>41</v>
      </c>
      <c r="B10">
        <v>79</v>
      </c>
      <c r="C10" t="s">
        <v>944</v>
      </c>
      <c r="D10" t="s">
        <v>244</v>
      </c>
      <c r="E10" t="s">
        <v>1021</v>
      </c>
      <c r="G10" t="s">
        <v>211</v>
      </c>
      <c r="H10">
        <v>83</v>
      </c>
      <c r="I10" t="s">
        <v>147</v>
      </c>
    </row>
    <row r="11" spans="1:11">
      <c r="A11">
        <v>46</v>
      </c>
      <c r="B11">
        <v>80</v>
      </c>
      <c r="C11" t="s">
        <v>385</v>
      </c>
      <c r="D11" t="s">
        <v>1133</v>
      </c>
      <c r="E11" t="s">
        <v>1067</v>
      </c>
      <c r="G11" t="s">
        <v>211</v>
      </c>
      <c r="H11">
        <v>83</v>
      </c>
      <c r="I11" t="s">
        <v>147</v>
      </c>
    </row>
    <row r="12" spans="1:11">
      <c r="A12">
        <v>47</v>
      </c>
      <c r="B12">
        <v>77</v>
      </c>
      <c r="C12" t="s">
        <v>937</v>
      </c>
      <c r="D12" t="s">
        <v>243</v>
      </c>
      <c r="E12" t="s">
        <v>1020</v>
      </c>
      <c r="G12" t="s">
        <v>205</v>
      </c>
      <c r="H12">
        <v>81</v>
      </c>
      <c r="I12" t="s">
        <v>147</v>
      </c>
    </row>
    <row r="13" spans="1:11">
      <c r="A13">
        <v>52</v>
      </c>
      <c r="B13">
        <v>78</v>
      </c>
      <c r="C13" t="s">
        <v>384</v>
      </c>
      <c r="D13" t="s">
        <v>1132</v>
      </c>
      <c r="E13" t="s">
        <v>1062</v>
      </c>
      <c r="G13" t="s">
        <v>205</v>
      </c>
      <c r="H13">
        <v>81</v>
      </c>
      <c r="I13" t="s">
        <v>147</v>
      </c>
    </row>
    <row r="14" spans="1:11">
      <c r="A14">
        <v>61</v>
      </c>
      <c r="B14">
        <v>71</v>
      </c>
      <c r="C14" t="s">
        <v>326</v>
      </c>
      <c r="D14" t="s">
        <v>1130</v>
      </c>
      <c r="G14" t="s">
        <v>188</v>
      </c>
      <c r="H14">
        <v>77</v>
      </c>
    </row>
    <row r="15" spans="1:11">
      <c r="A15">
        <v>64</v>
      </c>
      <c r="B15">
        <v>72</v>
      </c>
      <c r="C15" t="s">
        <v>327</v>
      </c>
      <c r="D15" t="s">
        <v>1131</v>
      </c>
      <c r="E15" t="s">
        <v>1026</v>
      </c>
      <c r="G15" t="s">
        <v>188</v>
      </c>
      <c r="H15">
        <v>76</v>
      </c>
    </row>
    <row r="16" spans="1:11">
      <c r="A16">
        <v>67</v>
      </c>
      <c r="B16">
        <v>69</v>
      </c>
      <c r="C16" t="s">
        <v>324</v>
      </c>
      <c r="D16" t="s">
        <v>1128</v>
      </c>
      <c r="G16" t="s">
        <v>190</v>
      </c>
      <c r="H16">
        <v>76</v>
      </c>
    </row>
    <row r="17" spans="1:10">
      <c r="A17">
        <v>70</v>
      </c>
      <c r="B17">
        <v>70</v>
      </c>
      <c r="C17" t="s">
        <v>325</v>
      </c>
      <c r="D17" t="s">
        <v>1129</v>
      </c>
      <c r="E17" t="s">
        <v>1026</v>
      </c>
      <c r="G17" t="s">
        <v>190</v>
      </c>
      <c r="H17">
        <v>74</v>
      </c>
    </row>
    <row r="18" spans="1:10">
      <c r="A18">
        <v>81</v>
      </c>
      <c r="B18">
        <v>67</v>
      </c>
      <c r="C18" t="s">
        <v>322</v>
      </c>
      <c r="D18" t="s">
        <v>241</v>
      </c>
      <c r="G18" t="s">
        <v>197</v>
      </c>
      <c r="H18">
        <v>69</v>
      </c>
    </row>
    <row r="19" spans="1:10">
      <c r="A19">
        <v>85</v>
      </c>
      <c r="B19">
        <v>68</v>
      </c>
      <c r="C19" t="s">
        <v>323</v>
      </c>
      <c r="D19" t="s">
        <v>1127</v>
      </c>
      <c r="E19" t="s">
        <v>1026</v>
      </c>
      <c r="G19" t="s">
        <v>197</v>
      </c>
      <c r="H19">
        <v>69</v>
      </c>
    </row>
    <row r="20" spans="1:10">
      <c r="A20">
        <v>88</v>
      </c>
      <c r="B20">
        <v>65</v>
      </c>
      <c r="C20" t="s">
        <v>320</v>
      </c>
      <c r="D20" t="s">
        <v>242</v>
      </c>
      <c r="G20" t="s">
        <v>202</v>
      </c>
      <c r="H20">
        <v>67</v>
      </c>
    </row>
    <row r="21" spans="1:10">
      <c r="A21">
        <v>91</v>
      </c>
      <c r="B21">
        <v>66</v>
      </c>
      <c r="C21" t="s">
        <v>321</v>
      </c>
      <c r="D21" t="s">
        <v>1126</v>
      </c>
      <c r="E21" t="s">
        <v>1026</v>
      </c>
      <c r="G21" t="s">
        <v>202</v>
      </c>
      <c r="H21">
        <v>67</v>
      </c>
    </row>
    <row r="22" spans="1:10">
      <c r="A22">
        <v>93</v>
      </c>
      <c r="B22">
        <v>60</v>
      </c>
      <c r="C22" t="s">
        <v>317</v>
      </c>
      <c r="D22" t="s">
        <v>1112</v>
      </c>
      <c r="E22" t="s">
        <v>1052</v>
      </c>
      <c r="G22" t="s">
        <v>176</v>
      </c>
      <c r="H22">
        <v>77</v>
      </c>
      <c r="I22" t="s">
        <v>177</v>
      </c>
    </row>
    <row r="23" spans="1:10">
      <c r="A23">
        <v>95</v>
      </c>
      <c r="B23">
        <v>62</v>
      </c>
      <c r="C23" t="s">
        <v>319</v>
      </c>
      <c r="D23" t="s">
        <v>1124</v>
      </c>
      <c r="E23" t="s">
        <v>1054</v>
      </c>
      <c r="G23" t="s">
        <v>176</v>
      </c>
      <c r="H23">
        <v>77</v>
      </c>
      <c r="I23" t="s">
        <v>177</v>
      </c>
    </row>
    <row r="24" spans="1:10">
      <c r="A24">
        <v>97</v>
      </c>
      <c r="B24">
        <v>61</v>
      </c>
      <c r="C24" t="s">
        <v>318</v>
      </c>
      <c r="D24" t="s">
        <v>1123</v>
      </c>
      <c r="E24" t="s">
        <v>1055</v>
      </c>
      <c r="G24" t="s">
        <v>176</v>
      </c>
      <c r="H24">
        <v>77</v>
      </c>
      <c r="I24" t="s">
        <v>177</v>
      </c>
    </row>
    <row r="25" spans="1:10">
      <c r="A25">
        <v>99</v>
      </c>
      <c r="B25">
        <v>63</v>
      </c>
      <c r="C25" t="s">
        <v>183</v>
      </c>
      <c r="D25" t="s">
        <v>1125</v>
      </c>
      <c r="E25" t="s">
        <v>1033</v>
      </c>
      <c r="G25" t="s">
        <v>176</v>
      </c>
      <c r="H25">
        <v>77</v>
      </c>
      <c r="I25" t="s">
        <v>177</v>
      </c>
    </row>
    <row r="26" spans="1:10">
      <c r="A26">
        <v>102</v>
      </c>
      <c r="B26">
        <v>58</v>
      </c>
      <c r="C26" t="s">
        <v>315</v>
      </c>
      <c r="D26" t="s">
        <v>1122</v>
      </c>
      <c r="E26">
        <v>2</v>
      </c>
      <c r="G26" t="s">
        <v>157</v>
      </c>
      <c r="H26">
        <v>79</v>
      </c>
      <c r="I26" t="s">
        <v>147</v>
      </c>
      <c r="J26" t="s">
        <v>158</v>
      </c>
    </row>
    <row r="27" spans="1:10">
      <c r="A27">
        <v>112</v>
      </c>
      <c r="B27">
        <v>57</v>
      </c>
      <c r="C27" t="s">
        <v>314</v>
      </c>
      <c r="D27" t="s">
        <v>1121</v>
      </c>
      <c r="E27">
        <v>4</v>
      </c>
      <c r="G27" t="s">
        <v>157</v>
      </c>
      <c r="H27">
        <v>79</v>
      </c>
      <c r="I27" t="s">
        <v>147</v>
      </c>
      <c r="J27" t="s">
        <v>158</v>
      </c>
    </row>
    <row r="28" spans="1:10">
      <c r="A28">
        <v>113</v>
      </c>
      <c r="B28">
        <v>56</v>
      </c>
      <c r="C28" t="s">
        <v>313</v>
      </c>
      <c r="D28" t="s">
        <v>1120</v>
      </c>
      <c r="E28">
        <v>3</v>
      </c>
      <c r="G28" t="s">
        <v>157</v>
      </c>
      <c r="H28">
        <v>79</v>
      </c>
      <c r="I28" t="s">
        <v>147</v>
      </c>
      <c r="J28" t="s">
        <v>158</v>
      </c>
    </row>
    <row r="29" spans="1:10">
      <c r="A29">
        <v>114</v>
      </c>
      <c r="B29">
        <v>55</v>
      </c>
      <c r="C29" t="s">
        <v>312</v>
      </c>
      <c r="D29" t="s">
        <v>1119</v>
      </c>
      <c r="E29">
        <v>2</v>
      </c>
      <c r="G29" t="s">
        <v>157</v>
      </c>
      <c r="H29">
        <v>79</v>
      </c>
      <c r="I29" t="s">
        <v>147</v>
      </c>
      <c r="J29" t="s">
        <v>158</v>
      </c>
    </row>
    <row r="30" spans="1:10">
      <c r="A30">
        <v>115</v>
      </c>
      <c r="B30">
        <v>54</v>
      </c>
      <c r="C30" t="s">
        <v>311</v>
      </c>
      <c r="D30" t="s">
        <v>1118</v>
      </c>
      <c r="E30">
        <v>1</v>
      </c>
      <c r="G30" t="s">
        <v>157</v>
      </c>
      <c r="H30">
        <v>79</v>
      </c>
      <c r="I30" t="s">
        <v>147</v>
      </c>
      <c r="J30" t="s">
        <v>158</v>
      </c>
    </row>
    <row r="31" spans="1:10">
      <c r="A31">
        <v>117</v>
      </c>
      <c r="B31">
        <v>53</v>
      </c>
      <c r="C31" t="s">
        <v>310</v>
      </c>
      <c r="D31" t="s">
        <v>1117</v>
      </c>
      <c r="E31" t="s">
        <v>1050</v>
      </c>
      <c r="G31" t="s">
        <v>150</v>
      </c>
      <c r="H31">
        <v>79</v>
      </c>
      <c r="I31" t="s">
        <v>147</v>
      </c>
    </row>
    <row r="32" spans="1:10">
      <c r="A32">
        <v>118</v>
      </c>
      <c r="B32">
        <v>49</v>
      </c>
      <c r="C32" t="s">
        <v>306</v>
      </c>
      <c r="D32" t="s">
        <v>1114</v>
      </c>
      <c r="E32" t="s">
        <v>1047</v>
      </c>
      <c r="G32" t="s">
        <v>150</v>
      </c>
      <c r="H32">
        <v>79</v>
      </c>
      <c r="I32" t="s">
        <v>147</v>
      </c>
    </row>
    <row r="33" spans="1:9">
      <c r="A33">
        <v>121</v>
      </c>
      <c r="B33">
        <v>51</v>
      </c>
      <c r="C33" t="s">
        <v>308</v>
      </c>
      <c r="D33" t="s">
        <v>1116</v>
      </c>
      <c r="E33" t="s">
        <v>1044</v>
      </c>
      <c r="G33" t="s">
        <v>150</v>
      </c>
      <c r="H33">
        <v>79</v>
      </c>
      <c r="I33" t="s">
        <v>147</v>
      </c>
    </row>
    <row r="34" spans="1:9">
      <c r="A34">
        <v>124</v>
      </c>
      <c r="B34">
        <v>50</v>
      </c>
      <c r="C34" t="s">
        <v>307</v>
      </c>
      <c r="D34" t="s">
        <v>1115</v>
      </c>
      <c r="E34" t="s">
        <v>1043</v>
      </c>
      <c r="G34" t="s">
        <v>150</v>
      </c>
      <c r="H34">
        <v>79</v>
      </c>
      <c r="I34" t="s">
        <v>147</v>
      </c>
    </row>
    <row r="35" spans="1:9">
      <c r="A35">
        <v>125</v>
      </c>
      <c r="B35">
        <v>52</v>
      </c>
      <c r="C35" t="s">
        <v>309</v>
      </c>
      <c r="D35" t="s">
        <v>1103</v>
      </c>
      <c r="E35" t="s">
        <v>1040</v>
      </c>
      <c r="G35" t="s">
        <v>150</v>
      </c>
      <c r="H35">
        <v>79</v>
      </c>
      <c r="I35" t="s">
        <v>147</v>
      </c>
    </row>
    <row r="36" spans="1:9">
      <c r="A36">
        <v>128</v>
      </c>
      <c r="B36">
        <v>48</v>
      </c>
      <c r="C36" t="s">
        <v>305</v>
      </c>
      <c r="D36" t="s">
        <v>1113</v>
      </c>
      <c r="E36" t="s">
        <v>1037</v>
      </c>
      <c r="G36" t="s">
        <v>148</v>
      </c>
      <c r="H36">
        <v>65</v>
      </c>
      <c r="I36" t="s">
        <v>147</v>
      </c>
    </row>
    <row r="37" spans="1:9">
      <c r="A37">
        <v>129</v>
      </c>
      <c r="B37">
        <v>42</v>
      </c>
      <c r="C37" t="s">
        <v>300</v>
      </c>
      <c r="D37" t="s">
        <v>235</v>
      </c>
      <c r="E37" t="s">
        <v>701</v>
      </c>
      <c r="G37" t="s">
        <v>146</v>
      </c>
      <c r="H37">
        <v>72</v>
      </c>
      <c r="I37" t="s">
        <v>147</v>
      </c>
    </row>
    <row r="38" spans="1:9">
      <c r="A38">
        <v>130</v>
      </c>
      <c r="B38">
        <v>37</v>
      </c>
      <c r="C38" t="s">
        <v>1077</v>
      </c>
      <c r="D38" t="s">
        <v>234</v>
      </c>
      <c r="E38" t="s">
        <v>1107</v>
      </c>
      <c r="G38" t="s">
        <v>142</v>
      </c>
      <c r="H38">
        <v>72</v>
      </c>
      <c r="I38" t="s">
        <v>143</v>
      </c>
    </row>
    <row r="39" spans="1:9">
      <c r="A39">
        <v>131</v>
      </c>
      <c r="B39">
        <v>41</v>
      </c>
      <c r="C39" t="s">
        <v>1109</v>
      </c>
      <c r="D39" t="s">
        <v>647</v>
      </c>
      <c r="E39" t="s">
        <v>1108</v>
      </c>
      <c r="G39" t="s">
        <v>142</v>
      </c>
      <c r="H39">
        <v>72</v>
      </c>
      <c r="I39" t="s">
        <v>143</v>
      </c>
    </row>
    <row r="40" spans="1:9">
      <c r="A40">
        <v>134</v>
      </c>
      <c r="B40">
        <v>43</v>
      </c>
      <c r="C40" t="s">
        <v>301</v>
      </c>
      <c r="D40" t="s">
        <v>564</v>
      </c>
      <c r="E40" t="s">
        <v>1029</v>
      </c>
      <c r="G40" t="s">
        <v>137</v>
      </c>
      <c r="H40">
        <v>72</v>
      </c>
    </row>
    <row r="41" spans="1:9">
      <c r="A41">
        <v>139</v>
      </c>
      <c r="B41">
        <v>38</v>
      </c>
      <c r="C41" t="s">
        <v>298</v>
      </c>
      <c r="D41" t="s">
        <v>233</v>
      </c>
      <c r="G41" t="s">
        <v>137</v>
      </c>
      <c r="H41">
        <v>72</v>
      </c>
    </row>
    <row r="42" spans="1:9">
      <c r="A42">
        <v>140</v>
      </c>
      <c r="B42">
        <v>36</v>
      </c>
      <c r="C42" t="s">
        <v>231</v>
      </c>
      <c r="D42" t="s">
        <v>1104</v>
      </c>
      <c r="E42" t="s">
        <v>1017</v>
      </c>
      <c r="G42" t="s">
        <v>134</v>
      </c>
      <c r="H42">
        <v>65</v>
      </c>
    </row>
    <row r="43" spans="1:9">
      <c r="A43">
        <v>145</v>
      </c>
      <c r="B43">
        <v>59</v>
      </c>
      <c r="C43" t="s">
        <v>316</v>
      </c>
      <c r="D43" t="s">
        <v>795</v>
      </c>
      <c r="E43" t="s">
        <v>1039</v>
      </c>
      <c r="G43" t="s">
        <v>148</v>
      </c>
      <c r="H43">
        <v>65</v>
      </c>
      <c r="I43" t="s">
        <v>147</v>
      </c>
    </row>
    <row r="44" spans="1:9">
      <c r="A44">
        <v>152</v>
      </c>
      <c r="B44">
        <v>44</v>
      </c>
      <c r="C44" t="s">
        <v>302</v>
      </c>
      <c r="D44" t="s">
        <v>1110</v>
      </c>
      <c r="E44" t="s">
        <v>1111</v>
      </c>
      <c r="G44" t="s">
        <v>142</v>
      </c>
      <c r="H44">
        <v>72</v>
      </c>
      <c r="I44" t="s">
        <v>143</v>
      </c>
    </row>
    <row r="45" spans="1:9">
      <c r="A45">
        <v>153</v>
      </c>
      <c r="B45">
        <v>75</v>
      </c>
      <c r="C45" t="s">
        <v>330</v>
      </c>
      <c r="D45" t="s">
        <v>1069</v>
      </c>
      <c r="G45" t="s">
        <v>142</v>
      </c>
      <c r="H45">
        <v>72</v>
      </c>
      <c r="I45" t="s">
        <v>143</v>
      </c>
    </row>
    <row r="46" spans="1:9">
      <c r="A46">
        <v>10154</v>
      </c>
      <c r="B46">
        <v>84</v>
      </c>
      <c r="C46" t="s">
        <v>332</v>
      </c>
      <c r="D46" t="s">
        <v>1136</v>
      </c>
      <c r="E46" t="s">
        <v>1057</v>
      </c>
      <c r="F46" t="s">
        <v>663</v>
      </c>
      <c r="G46" t="s">
        <v>176</v>
      </c>
      <c r="H46">
        <v>77</v>
      </c>
      <c r="I46" t="s">
        <v>177</v>
      </c>
    </row>
    <row r="47" spans="1:9">
      <c r="A47">
        <v>10155</v>
      </c>
      <c r="B47">
        <v>86</v>
      </c>
      <c r="C47" t="s">
        <v>334</v>
      </c>
      <c r="D47" t="s">
        <v>1138</v>
      </c>
      <c r="E47" t="s">
        <v>1054</v>
      </c>
      <c r="F47" t="s">
        <v>663</v>
      </c>
      <c r="G47" t="s">
        <v>176</v>
      </c>
      <c r="H47">
        <v>77</v>
      </c>
      <c r="I47" t="s">
        <v>177</v>
      </c>
    </row>
    <row r="48" spans="1:9">
      <c r="A48">
        <v>10156</v>
      </c>
      <c r="B48">
        <v>85</v>
      </c>
      <c r="C48" t="s">
        <v>333</v>
      </c>
      <c r="D48" t="s">
        <v>1137</v>
      </c>
      <c r="E48" t="s">
        <v>1055</v>
      </c>
      <c r="F48" t="s">
        <v>663</v>
      </c>
      <c r="G48" t="s">
        <v>176</v>
      </c>
      <c r="H48">
        <v>77</v>
      </c>
      <c r="I48" t="s">
        <v>177</v>
      </c>
    </row>
    <row r="49" spans="1:9">
      <c r="A49">
        <v>10157</v>
      </c>
      <c r="B49">
        <v>87</v>
      </c>
      <c r="C49" t="s">
        <v>187</v>
      </c>
      <c r="D49" t="s">
        <v>1139</v>
      </c>
      <c r="E49" t="s">
        <v>1033</v>
      </c>
      <c r="F49" t="s">
        <v>663</v>
      </c>
      <c r="G49" t="s">
        <v>176</v>
      </c>
      <c r="H49">
        <v>77</v>
      </c>
      <c r="I49" t="s">
        <v>177</v>
      </c>
    </row>
    <row r="50" spans="1:9">
      <c r="A50">
        <v>30047</v>
      </c>
      <c r="B50">
        <v>46</v>
      </c>
      <c r="C50" t="s">
        <v>940</v>
      </c>
      <c r="D50" t="s">
        <v>243</v>
      </c>
      <c r="E50" t="s">
        <v>1020</v>
      </c>
      <c r="F50" t="s">
        <v>290</v>
      </c>
      <c r="G50" t="s">
        <v>205</v>
      </c>
      <c r="H50">
        <v>81</v>
      </c>
      <c r="I50" t="s">
        <v>147</v>
      </c>
    </row>
    <row r="51" spans="1:9">
      <c r="A51">
        <v>30093</v>
      </c>
      <c r="B51">
        <v>45</v>
      </c>
      <c r="C51" t="s">
        <v>303</v>
      </c>
      <c r="D51" t="s">
        <v>1112</v>
      </c>
      <c r="E51" t="s">
        <v>1052</v>
      </c>
      <c r="F51" t="s">
        <v>290</v>
      </c>
      <c r="G51" t="s">
        <v>176</v>
      </c>
      <c r="H51">
        <v>77</v>
      </c>
      <c r="I51" t="s">
        <v>177</v>
      </c>
    </row>
    <row r="52" spans="1:9">
      <c r="A52">
        <v>30139</v>
      </c>
      <c r="B52">
        <v>40</v>
      </c>
      <c r="C52" t="s">
        <v>299</v>
      </c>
      <c r="D52" t="s">
        <v>233</v>
      </c>
      <c r="F52" t="s">
        <v>290</v>
      </c>
      <c r="G52" t="s">
        <v>137</v>
      </c>
      <c r="H52">
        <v>72</v>
      </c>
    </row>
    <row r="53" spans="1:9">
      <c r="A53">
        <v>30140</v>
      </c>
      <c r="B53">
        <v>39</v>
      </c>
      <c r="C53" t="s">
        <v>1073</v>
      </c>
      <c r="D53" t="s">
        <v>1104</v>
      </c>
      <c r="E53" t="s">
        <v>1017</v>
      </c>
      <c r="F53" t="s">
        <v>290</v>
      </c>
      <c r="G53" t="s">
        <v>134</v>
      </c>
      <c r="H53">
        <v>65</v>
      </c>
    </row>
    <row r="54" spans="1:9">
      <c r="A54">
        <v>90005</v>
      </c>
      <c r="B54">
        <v>3</v>
      </c>
      <c r="C54" t="s">
        <v>291</v>
      </c>
    </row>
    <row r="55" spans="1:9">
      <c r="A55">
        <v>90006</v>
      </c>
      <c r="B55">
        <v>4</v>
      </c>
      <c r="C55" t="s">
        <v>292</v>
      </c>
    </row>
    <row r="56" spans="1:9">
      <c r="A56">
        <v>90007</v>
      </c>
      <c r="B56">
        <v>5</v>
      </c>
      <c r="C56" t="s">
        <v>293</v>
      </c>
    </row>
    <row r="57" spans="1:9">
      <c r="A57">
        <v>90008</v>
      </c>
      <c r="B57">
        <v>6</v>
      </c>
      <c r="C57" t="s">
        <v>294</v>
      </c>
    </row>
    <row r="58" spans="1:9">
      <c r="A58">
        <v>90009</v>
      </c>
      <c r="B58">
        <v>7</v>
      </c>
      <c r="C58" t="s">
        <v>295</v>
      </c>
    </row>
    <row r="59" spans="1:9">
      <c r="A59">
        <v>90010</v>
      </c>
      <c r="B59">
        <v>8</v>
      </c>
      <c r="C59" t="s">
        <v>296</v>
      </c>
    </row>
    <row r="60" spans="1:9">
      <c r="A60">
        <v>90011</v>
      </c>
      <c r="B60">
        <v>9</v>
      </c>
      <c r="C60" t="s">
        <v>297</v>
      </c>
    </row>
    <row r="61" spans="1:9">
      <c r="A61">
        <v>90028</v>
      </c>
      <c r="B61">
        <v>26</v>
      </c>
      <c r="C61" t="s">
        <v>649</v>
      </c>
    </row>
    <row r="62" spans="1:9">
      <c r="A62">
        <v>90030</v>
      </c>
      <c r="B62">
        <v>28</v>
      </c>
      <c r="C62" t="s">
        <v>650</v>
      </c>
    </row>
    <row r="63" spans="1:9">
      <c r="A63">
        <v>90031</v>
      </c>
      <c r="B63">
        <v>29</v>
      </c>
      <c r="C63" t="s">
        <v>651</v>
      </c>
    </row>
    <row r="64" spans="1:9">
      <c r="A64">
        <v>90032</v>
      </c>
      <c r="B64">
        <v>30</v>
      </c>
      <c r="C64" t="s">
        <v>652</v>
      </c>
    </row>
    <row r="65" spans="1:3">
      <c r="A65">
        <v>90033</v>
      </c>
      <c r="B65">
        <v>31</v>
      </c>
      <c r="C65" t="s">
        <v>653</v>
      </c>
    </row>
    <row r="66" spans="1:3">
      <c r="A66">
        <v>90034</v>
      </c>
      <c r="B66">
        <v>32</v>
      </c>
      <c r="C66" t="s">
        <v>654</v>
      </c>
    </row>
    <row r="67" spans="1:3">
      <c r="A67">
        <v>90035</v>
      </c>
      <c r="B67">
        <v>33</v>
      </c>
      <c r="C67" t="s">
        <v>655</v>
      </c>
    </row>
    <row r="68" spans="1:3">
      <c r="A68">
        <v>90036</v>
      </c>
      <c r="B68">
        <v>34</v>
      </c>
      <c r="C68" t="s">
        <v>656</v>
      </c>
    </row>
    <row r="69" spans="1:3">
      <c r="A69">
        <v>90037</v>
      </c>
      <c r="B69">
        <v>35</v>
      </c>
      <c r="C69" t="s">
        <v>648</v>
      </c>
    </row>
    <row r="70" spans="1:3">
      <c r="A70">
        <v>90049</v>
      </c>
      <c r="B70">
        <v>47</v>
      </c>
      <c r="C70" t="s">
        <v>304</v>
      </c>
    </row>
    <row r="71" spans="1:3">
      <c r="A71">
        <v>90075</v>
      </c>
      <c r="B71">
        <v>73</v>
      </c>
      <c r="C71" t="s">
        <v>328</v>
      </c>
    </row>
    <row r="72" spans="1:3">
      <c r="A72">
        <v>90076</v>
      </c>
      <c r="B72">
        <v>74</v>
      </c>
      <c r="C72" t="s">
        <v>329</v>
      </c>
    </row>
    <row r="73" spans="1:3">
      <c r="A73">
        <v>90078</v>
      </c>
      <c r="B73">
        <v>76</v>
      </c>
      <c r="C73" t="s">
        <v>331</v>
      </c>
    </row>
    <row r="74" spans="1:3">
      <c r="A74">
        <v>90098</v>
      </c>
      <c r="B74">
        <v>96</v>
      </c>
      <c r="C74" t="s">
        <v>335</v>
      </c>
    </row>
    <row r="75" spans="1:3">
      <c r="A75">
        <v>90099</v>
      </c>
      <c r="B75">
        <v>97</v>
      </c>
      <c r="C75" t="s">
        <v>336</v>
      </c>
    </row>
    <row r="76" spans="1:3">
      <c r="A76">
        <v>90100</v>
      </c>
      <c r="B76">
        <v>98</v>
      </c>
      <c r="C76" t="s">
        <v>337</v>
      </c>
    </row>
    <row r="77" spans="1:3">
      <c r="A77">
        <v>90101</v>
      </c>
      <c r="B77">
        <v>99</v>
      </c>
      <c r="C77" t="s">
        <v>338</v>
      </c>
    </row>
    <row r="78" spans="1:3">
      <c r="A78">
        <v>90102</v>
      </c>
      <c r="B78">
        <v>100</v>
      </c>
      <c r="C78" t="s">
        <v>339</v>
      </c>
    </row>
    <row r="79" spans="1:3">
      <c r="A79">
        <v>90103</v>
      </c>
      <c r="B79">
        <v>101</v>
      </c>
      <c r="C79" t="s">
        <v>340</v>
      </c>
    </row>
    <row r="80" spans="1:3">
      <c r="A80">
        <v>90104</v>
      </c>
      <c r="B80">
        <v>102</v>
      </c>
      <c r="C80" t="s">
        <v>341</v>
      </c>
    </row>
    <row r="81" spans="1:3">
      <c r="A81">
        <v>90105</v>
      </c>
      <c r="B81">
        <v>103</v>
      </c>
      <c r="C81" t="s">
        <v>342</v>
      </c>
    </row>
  </sheetData>
  <sortState xmlns:xlrd2="http://schemas.microsoft.com/office/spreadsheetml/2017/richdata2" ref="A2:K81">
    <sortCondition ref="A2:A81"/>
  </sortState>
  <dataConsolidate/>
  <phoneticPr fontId="1"/>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6B14D-10C0-419C-B02A-3D470DDEB6E9}">
  <sheetPr codeName="Sheet31"/>
  <dimension ref="A1:D158"/>
  <sheetViews>
    <sheetView workbookViewId="0"/>
  </sheetViews>
  <sheetFormatPr defaultColWidth="12.125" defaultRowHeight="13.5"/>
  <sheetData>
    <row r="1" spans="1:4">
      <c r="A1" t="s">
        <v>1088</v>
      </c>
      <c r="B1" t="s">
        <v>1089</v>
      </c>
      <c r="C1" t="s">
        <v>1090</v>
      </c>
      <c r="D1" t="s">
        <v>1091</v>
      </c>
    </row>
    <row r="2" spans="1:4">
      <c r="A2">
        <v>1</v>
      </c>
      <c r="B2">
        <v>0</v>
      </c>
      <c r="C2" t="s">
        <v>1149</v>
      </c>
      <c r="D2" t="s">
        <v>1145</v>
      </c>
    </row>
    <row r="3" spans="1:4">
      <c r="A3">
        <v>2</v>
      </c>
      <c r="B3">
        <v>0</v>
      </c>
      <c r="C3" t="s">
        <v>1150</v>
      </c>
      <c r="D3">
        <v>36</v>
      </c>
    </row>
    <row r="4" spans="1:4">
      <c r="A4">
        <v>3</v>
      </c>
      <c r="B4">
        <v>1</v>
      </c>
      <c r="C4" t="s">
        <v>1151</v>
      </c>
      <c r="D4">
        <v>39</v>
      </c>
    </row>
    <row r="5" spans="1:4">
      <c r="A5">
        <v>4</v>
      </c>
      <c r="B5">
        <v>0</v>
      </c>
      <c r="C5" t="s">
        <v>1152</v>
      </c>
      <c r="D5" t="s">
        <v>1146</v>
      </c>
    </row>
    <row r="6" spans="1:4">
      <c r="A6">
        <v>5</v>
      </c>
      <c r="B6">
        <v>0</v>
      </c>
      <c r="C6" t="s">
        <v>1153</v>
      </c>
      <c r="D6">
        <v>38</v>
      </c>
    </row>
    <row r="7" spans="1:4">
      <c r="A7">
        <v>6</v>
      </c>
      <c r="B7">
        <v>0</v>
      </c>
      <c r="C7" t="s">
        <v>1154</v>
      </c>
      <c r="D7">
        <v>38</v>
      </c>
    </row>
    <row r="8" spans="1:4">
      <c r="A8">
        <v>7</v>
      </c>
      <c r="B8">
        <v>0</v>
      </c>
      <c r="C8" t="s">
        <v>1155</v>
      </c>
      <c r="D8">
        <v>38</v>
      </c>
    </row>
    <row r="9" spans="1:4">
      <c r="A9">
        <v>8</v>
      </c>
      <c r="B9">
        <v>0</v>
      </c>
      <c r="C9" t="s">
        <v>1156</v>
      </c>
      <c r="D9">
        <v>38</v>
      </c>
    </row>
    <row r="10" spans="1:4">
      <c r="A10">
        <v>9</v>
      </c>
      <c r="B10">
        <v>0</v>
      </c>
      <c r="C10" t="s">
        <v>1157</v>
      </c>
      <c r="D10">
        <v>38</v>
      </c>
    </row>
    <row r="11" spans="1:4">
      <c r="A11">
        <v>10</v>
      </c>
      <c r="B11">
        <v>0</v>
      </c>
      <c r="C11" t="s">
        <v>1158</v>
      </c>
      <c r="D11">
        <v>38</v>
      </c>
    </row>
    <row r="12" spans="1:4">
      <c r="A12">
        <v>11</v>
      </c>
      <c r="B12">
        <v>0</v>
      </c>
      <c r="C12" t="s">
        <v>1159</v>
      </c>
      <c r="D12">
        <v>43</v>
      </c>
    </row>
    <row r="13" spans="1:4">
      <c r="A13">
        <v>12</v>
      </c>
      <c r="B13">
        <v>0</v>
      </c>
      <c r="C13" t="s">
        <v>1160</v>
      </c>
      <c r="D13">
        <v>43</v>
      </c>
    </row>
    <row r="14" spans="1:4">
      <c r="A14">
        <v>13</v>
      </c>
      <c r="B14">
        <v>0</v>
      </c>
      <c r="C14" t="s">
        <v>1161</v>
      </c>
      <c r="D14">
        <v>43</v>
      </c>
    </row>
    <row r="15" spans="1:4">
      <c r="A15">
        <v>14</v>
      </c>
      <c r="B15">
        <v>0</v>
      </c>
      <c r="C15" t="s">
        <v>1162</v>
      </c>
      <c r="D15">
        <v>43</v>
      </c>
    </row>
    <row r="16" spans="1:4">
      <c r="A16">
        <v>15</v>
      </c>
      <c r="B16">
        <v>0</v>
      </c>
      <c r="C16" t="s">
        <v>1163</v>
      </c>
      <c r="D16">
        <v>43</v>
      </c>
    </row>
    <row r="17" spans="1:4">
      <c r="A17">
        <v>16</v>
      </c>
      <c r="B17">
        <v>0</v>
      </c>
      <c r="C17" t="s">
        <v>1164</v>
      </c>
      <c r="D17">
        <v>37</v>
      </c>
    </row>
    <row r="18" spans="1:4">
      <c r="A18">
        <v>17</v>
      </c>
      <c r="B18">
        <v>0</v>
      </c>
      <c r="C18" t="s">
        <v>1165</v>
      </c>
      <c r="D18">
        <v>37</v>
      </c>
    </row>
    <row r="19" spans="1:4">
      <c r="A19">
        <v>18</v>
      </c>
      <c r="B19">
        <v>0</v>
      </c>
      <c r="C19" t="s">
        <v>1166</v>
      </c>
      <c r="D19">
        <v>37</v>
      </c>
    </row>
    <row r="20" spans="1:4">
      <c r="A20">
        <v>19</v>
      </c>
      <c r="B20">
        <v>0</v>
      </c>
      <c r="C20" t="s">
        <v>1167</v>
      </c>
      <c r="D20">
        <v>41</v>
      </c>
    </row>
    <row r="21" spans="1:4">
      <c r="A21">
        <v>20</v>
      </c>
      <c r="B21">
        <v>0</v>
      </c>
      <c r="C21" t="s">
        <v>1168</v>
      </c>
      <c r="D21">
        <v>44</v>
      </c>
    </row>
    <row r="22" spans="1:4">
      <c r="A22">
        <v>21</v>
      </c>
      <c r="B22">
        <v>0</v>
      </c>
      <c r="C22" t="s">
        <v>1169</v>
      </c>
      <c r="D22">
        <v>75</v>
      </c>
    </row>
    <row r="23" spans="1:4">
      <c r="A23">
        <v>22</v>
      </c>
      <c r="B23">
        <v>0</v>
      </c>
      <c r="C23" t="s">
        <v>1170</v>
      </c>
      <c r="D23">
        <v>42</v>
      </c>
    </row>
    <row r="24" spans="1:4">
      <c r="A24">
        <v>23</v>
      </c>
      <c r="B24">
        <v>0</v>
      </c>
      <c r="C24" t="s">
        <v>1171</v>
      </c>
      <c r="D24">
        <v>48</v>
      </c>
    </row>
    <row r="25" spans="1:4">
      <c r="A25">
        <v>24</v>
      </c>
      <c r="B25">
        <v>0</v>
      </c>
      <c r="C25" t="s">
        <v>1172</v>
      </c>
      <c r="D25">
        <v>48</v>
      </c>
    </row>
    <row r="26" spans="1:4">
      <c r="A26">
        <v>25</v>
      </c>
      <c r="B26">
        <v>0</v>
      </c>
      <c r="C26" t="s">
        <v>1173</v>
      </c>
      <c r="D26">
        <v>59</v>
      </c>
    </row>
    <row r="27" spans="1:4">
      <c r="A27">
        <v>26</v>
      </c>
      <c r="B27">
        <v>0</v>
      </c>
      <c r="C27" t="s">
        <v>1174</v>
      </c>
      <c r="D27">
        <v>52</v>
      </c>
    </row>
    <row r="28" spans="1:4">
      <c r="A28">
        <v>27</v>
      </c>
      <c r="B28">
        <v>0</v>
      </c>
      <c r="C28" t="s">
        <v>1175</v>
      </c>
      <c r="D28">
        <v>52</v>
      </c>
    </row>
    <row r="29" spans="1:4">
      <c r="A29">
        <v>28</v>
      </c>
      <c r="B29">
        <v>0</v>
      </c>
      <c r="C29" t="s">
        <v>1176</v>
      </c>
      <c r="D29">
        <v>52</v>
      </c>
    </row>
    <row r="30" spans="1:4">
      <c r="A30">
        <v>29</v>
      </c>
      <c r="B30">
        <v>0</v>
      </c>
      <c r="C30" t="s">
        <v>1177</v>
      </c>
      <c r="D30">
        <v>50</v>
      </c>
    </row>
    <row r="31" spans="1:4">
      <c r="A31">
        <v>30</v>
      </c>
      <c r="B31">
        <v>0</v>
      </c>
      <c r="C31" t="s">
        <v>1178</v>
      </c>
      <c r="D31">
        <v>51</v>
      </c>
    </row>
    <row r="32" spans="1:4">
      <c r="A32">
        <v>31</v>
      </c>
      <c r="B32">
        <v>0</v>
      </c>
      <c r="C32" t="s">
        <v>1179</v>
      </c>
      <c r="D32">
        <v>51</v>
      </c>
    </row>
    <row r="33" spans="1:4">
      <c r="A33">
        <v>32</v>
      </c>
      <c r="B33">
        <v>0</v>
      </c>
      <c r="C33" t="s">
        <v>1180</v>
      </c>
      <c r="D33">
        <v>51</v>
      </c>
    </row>
    <row r="34" spans="1:4">
      <c r="A34">
        <v>33</v>
      </c>
      <c r="B34">
        <v>0</v>
      </c>
      <c r="C34" t="s">
        <v>1181</v>
      </c>
      <c r="D34">
        <v>49</v>
      </c>
    </row>
    <row r="35" spans="1:4">
      <c r="A35">
        <v>34</v>
      </c>
      <c r="B35">
        <v>0</v>
      </c>
      <c r="C35" t="s">
        <v>1182</v>
      </c>
      <c r="D35">
        <v>49</v>
      </c>
    </row>
    <row r="36" spans="1:4">
      <c r="A36">
        <v>35</v>
      </c>
      <c r="B36">
        <v>0</v>
      </c>
      <c r="C36" t="s">
        <v>1183</v>
      </c>
      <c r="D36">
        <v>49</v>
      </c>
    </row>
    <row r="37" spans="1:4">
      <c r="A37">
        <v>36</v>
      </c>
      <c r="B37">
        <v>0</v>
      </c>
      <c r="C37" t="s">
        <v>1184</v>
      </c>
      <c r="D37">
        <v>53</v>
      </c>
    </row>
    <row r="38" spans="1:4">
      <c r="A38">
        <v>37</v>
      </c>
      <c r="B38">
        <v>0</v>
      </c>
      <c r="C38" t="s">
        <v>1185</v>
      </c>
      <c r="D38">
        <v>53</v>
      </c>
    </row>
    <row r="39" spans="1:4">
      <c r="A39">
        <v>38</v>
      </c>
      <c r="B39">
        <v>0</v>
      </c>
      <c r="C39" t="s">
        <v>1186</v>
      </c>
      <c r="D39">
        <v>54</v>
      </c>
    </row>
    <row r="40" spans="1:4">
      <c r="A40">
        <v>39</v>
      </c>
      <c r="B40">
        <v>0</v>
      </c>
      <c r="C40" t="s">
        <v>1187</v>
      </c>
      <c r="D40">
        <v>54</v>
      </c>
    </row>
    <row r="41" spans="1:4">
      <c r="A41">
        <v>40</v>
      </c>
      <c r="B41">
        <v>0</v>
      </c>
      <c r="C41" t="s">
        <v>1188</v>
      </c>
      <c r="D41">
        <v>55</v>
      </c>
    </row>
    <row r="42" spans="1:4">
      <c r="A42">
        <v>41</v>
      </c>
      <c r="B42">
        <v>0</v>
      </c>
      <c r="C42" t="s">
        <v>1189</v>
      </c>
      <c r="D42">
        <v>56</v>
      </c>
    </row>
    <row r="43" spans="1:4">
      <c r="A43">
        <v>42</v>
      </c>
      <c r="B43">
        <v>0</v>
      </c>
      <c r="C43" t="s">
        <v>1190</v>
      </c>
      <c r="D43">
        <v>57</v>
      </c>
    </row>
    <row r="44" spans="1:4">
      <c r="A44">
        <v>43</v>
      </c>
      <c r="B44">
        <v>0</v>
      </c>
      <c r="C44" t="s">
        <v>1191</v>
      </c>
      <c r="D44">
        <v>57</v>
      </c>
    </row>
    <row r="45" spans="1:4">
      <c r="A45">
        <v>44</v>
      </c>
      <c r="B45">
        <v>1</v>
      </c>
      <c r="C45" t="s">
        <v>1192</v>
      </c>
      <c r="D45">
        <v>54</v>
      </c>
    </row>
    <row r="46" spans="1:4">
      <c r="A46">
        <v>45</v>
      </c>
      <c r="B46">
        <v>1</v>
      </c>
      <c r="C46" t="s">
        <v>1193</v>
      </c>
      <c r="D46">
        <v>54</v>
      </c>
    </row>
    <row r="47" spans="1:4">
      <c r="A47">
        <v>46</v>
      </c>
      <c r="B47">
        <v>1</v>
      </c>
      <c r="C47" t="s">
        <v>1194</v>
      </c>
      <c r="D47">
        <v>55</v>
      </c>
    </row>
    <row r="48" spans="1:4">
      <c r="A48">
        <v>47</v>
      </c>
      <c r="B48">
        <v>1</v>
      </c>
      <c r="C48" t="s">
        <v>1195</v>
      </c>
      <c r="D48">
        <v>56</v>
      </c>
    </row>
    <row r="49" spans="1:4">
      <c r="A49">
        <v>48</v>
      </c>
      <c r="B49">
        <v>1</v>
      </c>
      <c r="C49" t="s">
        <v>1196</v>
      </c>
      <c r="D49">
        <v>57</v>
      </c>
    </row>
    <row r="50" spans="1:4">
      <c r="A50">
        <v>49</v>
      </c>
      <c r="B50">
        <v>1</v>
      </c>
      <c r="C50" t="s">
        <v>1197</v>
      </c>
      <c r="D50">
        <v>57</v>
      </c>
    </row>
    <row r="51" spans="1:4">
      <c r="A51">
        <v>50</v>
      </c>
      <c r="B51">
        <v>0</v>
      </c>
      <c r="C51" t="s">
        <v>1198</v>
      </c>
      <c r="D51">
        <v>58</v>
      </c>
    </row>
    <row r="52" spans="1:4">
      <c r="A52">
        <v>51</v>
      </c>
      <c r="B52">
        <v>0</v>
      </c>
      <c r="C52" t="s">
        <v>1199</v>
      </c>
      <c r="D52">
        <v>58</v>
      </c>
    </row>
    <row r="53" spans="1:4">
      <c r="A53">
        <v>52</v>
      </c>
      <c r="B53">
        <v>0</v>
      </c>
      <c r="C53" t="s">
        <v>1200</v>
      </c>
      <c r="D53">
        <v>58</v>
      </c>
    </row>
    <row r="54" spans="1:4">
      <c r="A54">
        <v>53</v>
      </c>
      <c r="B54">
        <v>0</v>
      </c>
      <c r="C54" t="s">
        <v>1201</v>
      </c>
      <c r="D54">
        <v>58</v>
      </c>
    </row>
    <row r="55" spans="1:4">
      <c r="A55">
        <v>54</v>
      </c>
      <c r="B55">
        <v>0</v>
      </c>
      <c r="C55" t="s">
        <v>1202</v>
      </c>
      <c r="D55">
        <v>58</v>
      </c>
    </row>
    <row r="56" spans="1:4">
      <c r="A56">
        <v>55</v>
      </c>
      <c r="B56">
        <v>0</v>
      </c>
      <c r="C56" t="s">
        <v>1203</v>
      </c>
      <c r="D56" t="s">
        <v>1147</v>
      </c>
    </row>
    <row r="57" spans="1:4">
      <c r="A57">
        <v>56</v>
      </c>
      <c r="B57">
        <v>0</v>
      </c>
      <c r="C57" t="s">
        <v>1204</v>
      </c>
      <c r="D57">
        <v>60</v>
      </c>
    </row>
    <row r="58" spans="1:4">
      <c r="A58">
        <v>57</v>
      </c>
      <c r="B58">
        <v>0</v>
      </c>
      <c r="C58" t="s">
        <v>1205</v>
      </c>
      <c r="D58">
        <v>62</v>
      </c>
    </row>
    <row r="59" spans="1:4">
      <c r="A59">
        <v>58</v>
      </c>
      <c r="B59">
        <v>0</v>
      </c>
      <c r="C59" t="s">
        <v>1206</v>
      </c>
      <c r="D59">
        <v>62</v>
      </c>
    </row>
    <row r="60" spans="1:4">
      <c r="A60">
        <v>59</v>
      </c>
      <c r="B60">
        <v>0</v>
      </c>
      <c r="C60" t="s">
        <v>1207</v>
      </c>
      <c r="D60">
        <v>61</v>
      </c>
    </row>
    <row r="61" spans="1:4">
      <c r="A61">
        <v>60</v>
      </c>
      <c r="B61">
        <v>0</v>
      </c>
      <c r="C61" t="s">
        <v>1208</v>
      </c>
      <c r="D61">
        <v>61</v>
      </c>
    </row>
    <row r="62" spans="1:4">
      <c r="A62">
        <v>61</v>
      </c>
      <c r="B62">
        <v>0</v>
      </c>
      <c r="C62" t="s">
        <v>1209</v>
      </c>
      <c r="D62">
        <v>63</v>
      </c>
    </row>
    <row r="63" spans="1:4">
      <c r="A63">
        <v>62</v>
      </c>
      <c r="B63">
        <v>0</v>
      </c>
      <c r="C63" t="s">
        <v>1210</v>
      </c>
      <c r="D63">
        <v>84</v>
      </c>
    </row>
    <row r="64" spans="1:4">
      <c r="A64">
        <v>63</v>
      </c>
      <c r="B64">
        <v>0</v>
      </c>
      <c r="C64" t="s">
        <v>1211</v>
      </c>
      <c r="D64">
        <v>86</v>
      </c>
    </row>
    <row r="65" spans="1:4">
      <c r="A65">
        <v>64</v>
      </c>
      <c r="B65">
        <v>0</v>
      </c>
      <c r="C65" t="s">
        <v>1212</v>
      </c>
      <c r="D65">
        <v>85</v>
      </c>
    </row>
    <row r="66" spans="1:4">
      <c r="A66">
        <v>65</v>
      </c>
      <c r="B66">
        <v>0</v>
      </c>
      <c r="C66" t="s">
        <v>1213</v>
      </c>
      <c r="D66">
        <v>87</v>
      </c>
    </row>
    <row r="67" spans="1:4">
      <c r="A67">
        <v>66</v>
      </c>
      <c r="B67">
        <v>1</v>
      </c>
      <c r="C67" t="s">
        <v>1214</v>
      </c>
      <c r="D67">
        <v>71</v>
      </c>
    </row>
    <row r="68" spans="1:4">
      <c r="A68">
        <v>67</v>
      </c>
      <c r="B68">
        <v>1</v>
      </c>
      <c r="C68" t="s">
        <v>1215</v>
      </c>
      <c r="D68">
        <v>72</v>
      </c>
    </row>
    <row r="69" spans="1:4">
      <c r="A69">
        <v>68</v>
      </c>
      <c r="B69">
        <v>1</v>
      </c>
      <c r="C69" t="s">
        <v>1216</v>
      </c>
      <c r="D69">
        <v>71</v>
      </c>
    </row>
    <row r="70" spans="1:4">
      <c r="A70">
        <v>69</v>
      </c>
      <c r="B70">
        <v>1</v>
      </c>
      <c r="C70" t="s">
        <v>1217</v>
      </c>
      <c r="D70">
        <v>72</v>
      </c>
    </row>
    <row r="71" spans="1:4">
      <c r="A71">
        <v>70</v>
      </c>
      <c r="B71">
        <v>1</v>
      </c>
      <c r="C71" t="s">
        <v>1218</v>
      </c>
      <c r="D71">
        <v>71</v>
      </c>
    </row>
    <row r="72" spans="1:4">
      <c r="A72">
        <v>71</v>
      </c>
      <c r="B72">
        <v>1</v>
      </c>
      <c r="C72" t="s">
        <v>1219</v>
      </c>
      <c r="D72">
        <v>72</v>
      </c>
    </row>
    <row r="73" spans="1:4">
      <c r="A73">
        <v>72</v>
      </c>
      <c r="B73">
        <v>1</v>
      </c>
      <c r="C73" t="s">
        <v>1220</v>
      </c>
      <c r="D73">
        <v>71</v>
      </c>
    </row>
    <row r="74" spans="1:4">
      <c r="A74">
        <v>73</v>
      </c>
      <c r="B74">
        <v>1</v>
      </c>
      <c r="C74" t="s">
        <v>1221</v>
      </c>
      <c r="D74">
        <v>72</v>
      </c>
    </row>
    <row r="75" spans="1:4">
      <c r="A75">
        <v>74</v>
      </c>
      <c r="B75">
        <v>0</v>
      </c>
      <c r="C75" t="s">
        <v>1222</v>
      </c>
      <c r="D75">
        <v>71</v>
      </c>
    </row>
    <row r="76" spans="1:4">
      <c r="A76">
        <v>75</v>
      </c>
      <c r="B76">
        <v>0</v>
      </c>
      <c r="C76" t="s">
        <v>1223</v>
      </c>
      <c r="D76">
        <v>71</v>
      </c>
    </row>
    <row r="77" spans="1:4">
      <c r="A77">
        <v>76</v>
      </c>
      <c r="B77">
        <v>0</v>
      </c>
      <c r="C77" t="s">
        <v>1224</v>
      </c>
      <c r="D77">
        <v>71</v>
      </c>
    </row>
    <row r="78" spans="1:4">
      <c r="A78">
        <v>77</v>
      </c>
      <c r="B78">
        <v>0</v>
      </c>
      <c r="C78" t="s">
        <v>1225</v>
      </c>
      <c r="D78">
        <v>72</v>
      </c>
    </row>
    <row r="79" spans="1:4">
      <c r="A79">
        <v>78</v>
      </c>
      <c r="B79">
        <v>0</v>
      </c>
      <c r="C79" t="s">
        <v>1226</v>
      </c>
      <c r="D79">
        <v>72</v>
      </c>
    </row>
    <row r="80" spans="1:4">
      <c r="A80">
        <v>79</v>
      </c>
      <c r="B80">
        <v>0</v>
      </c>
      <c r="C80" t="s">
        <v>1227</v>
      </c>
      <c r="D80">
        <v>72</v>
      </c>
    </row>
    <row r="81" spans="1:4">
      <c r="A81">
        <v>80</v>
      </c>
      <c r="B81">
        <v>0</v>
      </c>
      <c r="C81" t="s">
        <v>1228</v>
      </c>
      <c r="D81">
        <v>69</v>
      </c>
    </row>
    <row r="82" spans="1:4">
      <c r="A82">
        <v>81</v>
      </c>
      <c r="B82">
        <v>0</v>
      </c>
      <c r="C82" t="s">
        <v>1229</v>
      </c>
      <c r="D82">
        <v>69</v>
      </c>
    </row>
    <row r="83" spans="1:4">
      <c r="A83">
        <v>82</v>
      </c>
      <c r="B83">
        <v>0</v>
      </c>
      <c r="C83" t="s">
        <v>1230</v>
      </c>
      <c r="D83">
        <v>69</v>
      </c>
    </row>
    <row r="84" spans="1:4">
      <c r="A84">
        <v>83</v>
      </c>
      <c r="B84">
        <v>0</v>
      </c>
      <c r="C84" t="s">
        <v>1231</v>
      </c>
      <c r="D84">
        <v>70</v>
      </c>
    </row>
    <row r="85" spans="1:4">
      <c r="A85">
        <v>84</v>
      </c>
      <c r="B85">
        <v>0</v>
      </c>
      <c r="C85" t="s">
        <v>1232</v>
      </c>
      <c r="D85">
        <v>70</v>
      </c>
    </row>
    <row r="86" spans="1:4">
      <c r="A86">
        <v>85</v>
      </c>
      <c r="B86">
        <v>0</v>
      </c>
      <c r="C86" t="s">
        <v>1233</v>
      </c>
      <c r="D86">
        <v>70</v>
      </c>
    </row>
    <row r="87" spans="1:4">
      <c r="A87">
        <v>86</v>
      </c>
      <c r="B87">
        <v>1</v>
      </c>
      <c r="C87" t="s">
        <v>1234</v>
      </c>
      <c r="D87">
        <v>69</v>
      </c>
    </row>
    <row r="88" spans="1:4">
      <c r="A88">
        <v>87</v>
      </c>
      <c r="B88">
        <v>1</v>
      </c>
      <c r="C88" t="s">
        <v>1235</v>
      </c>
      <c r="D88">
        <v>69</v>
      </c>
    </row>
    <row r="89" spans="1:4">
      <c r="A89">
        <v>88</v>
      </c>
      <c r="B89">
        <v>1</v>
      </c>
      <c r="C89" t="s">
        <v>1236</v>
      </c>
      <c r="D89">
        <v>69</v>
      </c>
    </row>
    <row r="90" spans="1:4">
      <c r="A90">
        <v>89</v>
      </c>
      <c r="B90">
        <v>1</v>
      </c>
      <c r="C90" t="s">
        <v>1237</v>
      </c>
      <c r="D90">
        <v>70</v>
      </c>
    </row>
    <row r="91" spans="1:4">
      <c r="A91">
        <v>90</v>
      </c>
      <c r="B91">
        <v>1</v>
      </c>
      <c r="C91" t="s">
        <v>1238</v>
      </c>
      <c r="D91">
        <v>70</v>
      </c>
    </row>
    <row r="92" spans="1:4">
      <c r="A92">
        <v>91</v>
      </c>
      <c r="B92">
        <v>1</v>
      </c>
      <c r="C92" t="s">
        <v>1239</v>
      </c>
      <c r="D92">
        <v>69</v>
      </c>
    </row>
    <row r="93" spans="1:4">
      <c r="A93">
        <v>92</v>
      </c>
      <c r="B93">
        <v>1</v>
      </c>
      <c r="C93" t="s">
        <v>1240</v>
      </c>
      <c r="D93">
        <v>70</v>
      </c>
    </row>
    <row r="94" spans="1:4">
      <c r="A94">
        <v>93</v>
      </c>
      <c r="B94">
        <v>1</v>
      </c>
      <c r="C94" t="s">
        <v>1241</v>
      </c>
      <c r="D94">
        <v>70</v>
      </c>
    </row>
    <row r="95" spans="1:4">
      <c r="A95">
        <v>94</v>
      </c>
      <c r="B95">
        <v>0</v>
      </c>
      <c r="C95" t="s">
        <v>1242</v>
      </c>
      <c r="D95">
        <v>67</v>
      </c>
    </row>
    <row r="96" spans="1:4">
      <c r="A96">
        <v>95</v>
      </c>
      <c r="B96">
        <v>0</v>
      </c>
      <c r="C96" t="s">
        <v>1243</v>
      </c>
      <c r="D96">
        <v>67</v>
      </c>
    </row>
    <row r="97" spans="1:4">
      <c r="A97">
        <v>96</v>
      </c>
      <c r="B97">
        <v>0</v>
      </c>
      <c r="C97" t="s">
        <v>1244</v>
      </c>
      <c r="D97">
        <v>67</v>
      </c>
    </row>
    <row r="98" spans="1:4">
      <c r="A98">
        <v>97</v>
      </c>
      <c r="B98">
        <v>0</v>
      </c>
      <c r="C98" t="s">
        <v>1245</v>
      </c>
      <c r="D98">
        <v>67</v>
      </c>
    </row>
    <row r="99" spans="1:4">
      <c r="A99">
        <v>98</v>
      </c>
      <c r="B99">
        <v>0</v>
      </c>
      <c r="C99" t="s">
        <v>1246</v>
      </c>
      <c r="D99">
        <v>68</v>
      </c>
    </row>
    <row r="100" spans="1:4">
      <c r="A100">
        <v>99</v>
      </c>
      <c r="B100">
        <v>0</v>
      </c>
      <c r="C100" t="s">
        <v>1247</v>
      </c>
      <c r="D100">
        <v>68</v>
      </c>
    </row>
    <row r="101" spans="1:4">
      <c r="A101">
        <v>100</v>
      </c>
      <c r="B101">
        <v>0</v>
      </c>
      <c r="C101" t="s">
        <v>1248</v>
      </c>
      <c r="D101">
        <v>68</v>
      </c>
    </row>
    <row r="102" spans="1:4">
      <c r="A102">
        <v>101</v>
      </c>
      <c r="B102">
        <v>0</v>
      </c>
      <c r="C102" t="s">
        <v>1249</v>
      </c>
      <c r="D102">
        <v>65</v>
      </c>
    </row>
    <row r="103" spans="1:4">
      <c r="A103">
        <v>102</v>
      </c>
      <c r="B103">
        <v>0</v>
      </c>
      <c r="C103" t="s">
        <v>1250</v>
      </c>
      <c r="D103">
        <v>65</v>
      </c>
    </row>
    <row r="104" spans="1:4">
      <c r="A104">
        <v>103</v>
      </c>
      <c r="B104">
        <v>0</v>
      </c>
      <c r="C104" t="s">
        <v>1251</v>
      </c>
      <c r="D104">
        <v>65</v>
      </c>
    </row>
    <row r="105" spans="1:4">
      <c r="A105">
        <v>104</v>
      </c>
      <c r="B105">
        <v>0</v>
      </c>
      <c r="C105" t="s">
        <v>1252</v>
      </c>
      <c r="D105">
        <v>66</v>
      </c>
    </row>
    <row r="106" spans="1:4">
      <c r="A106">
        <v>105</v>
      </c>
      <c r="B106">
        <v>0</v>
      </c>
      <c r="C106" t="s">
        <v>1253</v>
      </c>
      <c r="D106">
        <v>66</v>
      </c>
    </row>
    <row r="107" spans="1:4">
      <c r="A107">
        <v>106</v>
      </c>
      <c r="B107">
        <v>0</v>
      </c>
      <c r="C107" t="s">
        <v>1254</v>
      </c>
      <c r="D107" t="s">
        <v>1148</v>
      </c>
    </row>
    <row r="108" spans="1:4">
      <c r="A108">
        <v>107</v>
      </c>
      <c r="B108">
        <v>0</v>
      </c>
      <c r="C108" t="s">
        <v>1255</v>
      </c>
      <c r="D108">
        <v>77</v>
      </c>
    </row>
    <row r="109" spans="1:4">
      <c r="A109">
        <v>108</v>
      </c>
      <c r="B109">
        <v>0</v>
      </c>
      <c r="C109" t="s">
        <v>1256</v>
      </c>
      <c r="D109">
        <v>77</v>
      </c>
    </row>
    <row r="110" spans="1:4">
      <c r="A110">
        <v>109</v>
      </c>
      <c r="B110">
        <v>0</v>
      </c>
      <c r="C110" t="s">
        <v>1257</v>
      </c>
      <c r="D110">
        <v>77</v>
      </c>
    </row>
    <row r="111" spans="1:4">
      <c r="A111">
        <v>110</v>
      </c>
      <c r="B111">
        <v>0</v>
      </c>
      <c r="C111" t="s">
        <v>1258</v>
      </c>
      <c r="D111">
        <v>77</v>
      </c>
    </row>
    <row r="112" spans="1:4">
      <c r="A112">
        <v>111</v>
      </c>
      <c r="B112">
        <v>0</v>
      </c>
      <c r="C112" t="s">
        <v>1259</v>
      </c>
      <c r="D112">
        <v>78</v>
      </c>
    </row>
    <row r="113" spans="1:4">
      <c r="A113">
        <v>112</v>
      </c>
      <c r="B113">
        <v>0</v>
      </c>
      <c r="C113" t="s">
        <v>1260</v>
      </c>
      <c r="D113">
        <v>79</v>
      </c>
    </row>
    <row r="114" spans="1:4">
      <c r="A114">
        <v>113</v>
      </c>
      <c r="B114">
        <v>0</v>
      </c>
      <c r="C114" t="s">
        <v>1261</v>
      </c>
      <c r="D114">
        <v>79</v>
      </c>
    </row>
    <row r="115" spans="1:4">
      <c r="A115">
        <v>114</v>
      </c>
      <c r="B115">
        <v>0</v>
      </c>
      <c r="C115" t="s">
        <v>1262</v>
      </c>
      <c r="D115">
        <v>79</v>
      </c>
    </row>
    <row r="116" spans="1:4">
      <c r="A116">
        <v>115</v>
      </c>
      <c r="B116">
        <v>0</v>
      </c>
      <c r="C116" t="s">
        <v>1263</v>
      </c>
      <c r="D116">
        <v>79</v>
      </c>
    </row>
    <row r="117" spans="1:4">
      <c r="A117">
        <v>116</v>
      </c>
      <c r="B117">
        <v>0</v>
      </c>
      <c r="C117" t="s">
        <v>1264</v>
      </c>
      <c r="D117">
        <v>79</v>
      </c>
    </row>
    <row r="118" spans="1:4">
      <c r="A118">
        <v>117</v>
      </c>
      <c r="B118">
        <v>0</v>
      </c>
      <c r="C118" t="s">
        <v>1265</v>
      </c>
      <c r="D118">
        <v>80</v>
      </c>
    </row>
    <row r="119" spans="1:4">
      <c r="A119">
        <v>118</v>
      </c>
      <c r="B119">
        <v>0</v>
      </c>
      <c r="C119" t="s">
        <v>1266</v>
      </c>
      <c r="D119">
        <v>93</v>
      </c>
    </row>
    <row r="120" spans="1:4">
      <c r="A120">
        <v>119</v>
      </c>
      <c r="B120">
        <v>0</v>
      </c>
      <c r="C120" t="s">
        <v>1267</v>
      </c>
      <c r="D120">
        <v>93</v>
      </c>
    </row>
    <row r="121" spans="1:4">
      <c r="A121">
        <v>120</v>
      </c>
      <c r="B121">
        <v>0</v>
      </c>
      <c r="C121" t="s">
        <v>1268</v>
      </c>
      <c r="D121">
        <v>93</v>
      </c>
    </row>
    <row r="122" spans="1:4">
      <c r="A122">
        <v>121</v>
      </c>
      <c r="B122">
        <v>0</v>
      </c>
      <c r="C122" t="s">
        <v>1269</v>
      </c>
      <c r="D122">
        <v>93</v>
      </c>
    </row>
    <row r="123" spans="1:4">
      <c r="A123">
        <v>122</v>
      </c>
      <c r="B123">
        <v>0</v>
      </c>
      <c r="C123" t="s">
        <v>1270</v>
      </c>
      <c r="D123">
        <v>93</v>
      </c>
    </row>
    <row r="124" spans="1:4">
      <c r="A124">
        <v>123</v>
      </c>
      <c r="B124">
        <v>0</v>
      </c>
      <c r="C124" t="s">
        <v>1271</v>
      </c>
      <c r="D124">
        <v>94</v>
      </c>
    </row>
    <row r="125" spans="1:4">
      <c r="A125">
        <v>124</v>
      </c>
      <c r="B125">
        <v>1</v>
      </c>
      <c r="C125" t="s">
        <v>1272</v>
      </c>
      <c r="D125">
        <v>93</v>
      </c>
    </row>
    <row r="126" spans="1:4">
      <c r="A126">
        <v>125</v>
      </c>
      <c r="B126">
        <v>1</v>
      </c>
      <c r="C126" t="s">
        <v>1273</v>
      </c>
      <c r="D126">
        <v>94</v>
      </c>
    </row>
    <row r="127" spans="1:4">
      <c r="A127">
        <v>126</v>
      </c>
      <c r="B127">
        <v>1</v>
      </c>
      <c r="C127" t="s">
        <v>1274</v>
      </c>
      <c r="D127">
        <v>93</v>
      </c>
    </row>
    <row r="128" spans="1:4">
      <c r="A128">
        <v>127</v>
      </c>
      <c r="B128">
        <v>1</v>
      </c>
      <c r="C128" t="s">
        <v>1275</v>
      </c>
      <c r="D128">
        <v>94</v>
      </c>
    </row>
    <row r="129" spans="1:4">
      <c r="A129">
        <v>128</v>
      </c>
      <c r="B129">
        <v>0</v>
      </c>
      <c r="C129" t="s">
        <v>1276</v>
      </c>
      <c r="D129">
        <v>81</v>
      </c>
    </row>
    <row r="130" spans="1:4">
      <c r="A130">
        <v>129</v>
      </c>
      <c r="B130">
        <v>0</v>
      </c>
      <c r="C130" t="s">
        <v>1277</v>
      </c>
      <c r="D130">
        <v>81</v>
      </c>
    </row>
    <row r="131" spans="1:4">
      <c r="A131">
        <v>130</v>
      </c>
      <c r="B131">
        <v>0</v>
      </c>
      <c r="C131" t="s">
        <v>1278</v>
      </c>
      <c r="D131">
        <v>81</v>
      </c>
    </row>
    <row r="132" spans="1:4">
      <c r="A132">
        <v>131</v>
      </c>
      <c r="B132">
        <v>0</v>
      </c>
      <c r="C132" t="s">
        <v>1279</v>
      </c>
      <c r="D132">
        <v>81</v>
      </c>
    </row>
    <row r="133" spans="1:4">
      <c r="A133">
        <v>132</v>
      </c>
      <c r="B133">
        <v>0</v>
      </c>
      <c r="C133" t="s">
        <v>1280</v>
      </c>
      <c r="D133">
        <v>81</v>
      </c>
    </row>
    <row r="134" spans="1:4">
      <c r="A134">
        <v>133</v>
      </c>
      <c r="B134">
        <v>0</v>
      </c>
      <c r="C134" t="s">
        <v>1281</v>
      </c>
      <c r="D134">
        <v>82</v>
      </c>
    </row>
    <row r="135" spans="1:4">
      <c r="A135">
        <v>134</v>
      </c>
      <c r="B135">
        <v>1</v>
      </c>
      <c r="C135" t="s">
        <v>1282</v>
      </c>
      <c r="D135">
        <v>81</v>
      </c>
    </row>
    <row r="136" spans="1:4">
      <c r="A136">
        <v>135</v>
      </c>
      <c r="B136">
        <v>1</v>
      </c>
      <c r="C136" t="s">
        <v>1283</v>
      </c>
      <c r="D136">
        <v>81</v>
      </c>
    </row>
    <row r="137" spans="1:4">
      <c r="A137">
        <v>136</v>
      </c>
      <c r="B137">
        <v>1</v>
      </c>
      <c r="C137" t="s">
        <v>1284</v>
      </c>
      <c r="D137">
        <v>82</v>
      </c>
    </row>
    <row r="138" spans="1:4">
      <c r="A138">
        <v>137</v>
      </c>
      <c r="B138">
        <v>1</v>
      </c>
      <c r="C138" t="s">
        <v>1285</v>
      </c>
      <c r="D138">
        <v>46</v>
      </c>
    </row>
    <row r="139" spans="1:4">
      <c r="A139">
        <v>138</v>
      </c>
      <c r="B139">
        <v>1</v>
      </c>
      <c r="C139" t="s">
        <v>1286</v>
      </c>
      <c r="D139">
        <v>77</v>
      </c>
    </row>
    <row r="140" spans="1:4">
      <c r="A140">
        <v>139</v>
      </c>
      <c r="B140">
        <v>1</v>
      </c>
      <c r="C140" t="s">
        <v>1287</v>
      </c>
      <c r="D140">
        <v>77</v>
      </c>
    </row>
    <row r="141" spans="1:4">
      <c r="A141">
        <v>140</v>
      </c>
      <c r="B141">
        <v>1</v>
      </c>
      <c r="C141" t="s">
        <v>1288</v>
      </c>
      <c r="D141">
        <v>77</v>
      </c>
    </row>
    <row r="142" spans="1:4">
      <c r="A142">
        <v>141</v>
      </c>
      <c r="B142">
        <v>1</v>
      </c>
      <c r="C142" t="s">
        <v>1289</v>
      </c>
      <c r="D142">
        <v>77</v>
      </c>
    </row>
    <row r="143" spans="1:4">
      <c r="A143">
        <v>142</v>
      </c>
      <c r="B143">
        <v>1</v>
      </c>
      <c r="C143" t="s">
        <v>1290</v>
      </c>
      <c r="D143">
        <v>78</v>
      </c>
    </row>
    <row r="144" spans="1:4">
      <c r="A144">
        <v>143</v>
      </c>
      <c r="B144">
        <v>0</v>
      </c>
      <c r="C144" t="s">
        <v>1291</v>
      </c>
      <c r="D144">
        <v>89</v>
      </c>
    </row>
    <row r="145" spans="1:4">
      <c r="A145">
        <v>144</v>
      </c>
      <c r="B145">
        <v>0</v>
      </c>
      <c r="C145" t="s">
        <v>1292</v>
      </c>
      <c r="D145">
        <v>89</v>
      </c>
    </row>
    <row r="146" spans="1:4">
      <c r="A146">
        <v>145</v>
      </c>
      <c r="B146">
        <v>0</v>
      </c>
      <c r="C146" t="s">
        <v>1293</v>
      </c>
      <c r="D146">
        <v>89</v>
      </c>
    </row>
    <row r="147" spans="1:4">
      <c r="A147">
        <v>146</v>
      </c>
      <c r="B147">
        <v>0</v>
      </c>
      <c r="C147" t="s">
        <v>1294</v>
      </c>
      <c r="D147">
        <v>89</v>
      </c>
    </row>
    <row r="148" spans="1:4">
      <c r="A148">
        <v>147</v>
      </c>
      <c r="B148">
        <v>0</v>
      </c>
      <c r="C148" t="s">
        <v>1295</v>
      </c>
      <c r="D148">
        <v>89</v>
      </c>
    </row>
    <row r="149" spans="1:4">
      <c r="A149">
        <v>148</v>
      </c>
      <c r="B149">
        <v>0</v>
      </c>
      <c r="C149" t="s">
        <v>1296</v>
      </c>
      <c r="D149">
        <v>90</v>
      </c>
    </row>
    <row r="150" spans="1:4">
      <c r="A150">
        <v>149</v>
      </c>
      <c r="B150">
        <v>0</v>
      </c>
      <c r="C150" t="s">
        <v>1297</v>
      </c>
      <c r="D150">
        <v>91</v>
      </c>
    </row>
    <row r="151" spans="1:4">
      <c r="A151">
        <v>150</v>
      </c>
      <c r="B151">
        <v>0</v>
      </c>
      <c r="C151" t="s">
        <v>1298</v>
      </c>
      <c r="D151">
        <v>92</v>
      </c>
    </row>
    <row r="152" spans="1:4">
      <c r="A152">
        <v>151</v>
      </c>
      <c r="B152">
        <v>1</v>
      </c>
      <c r="C152" t="s">
        <v>1299</v>
      </c>
      <c r="D152">
        <v>91</v>
      </c>
    </row>
    <row r="153" spans="1:4">
      <c r="A153">
        <v>152</v>
      </c>
      <c r="B153">
        <v>1</v>
      </c>
      <c r="C153" t="s">
        <v>1300</v>
      </c>
      <c r="D153">
        <v>92</v>
      </c>
    </row>
    <row r="154" spans="1:4">
      <c r="A154">
        <v>153</v>
      </c>
      <c r="B154">
        <v>1</v>
      </c>
      <c r="C154" t="s">
        <v>1301</v>
      </c>
      <c r="D154">
        <v>91</v>
      </c>
    </row>
    <row r="155" spans="1:4">
      <c r="A155">
        <v>154</v>
      </c>
      <c r="B155">
        <v>1</v>
      </c>
      <c r="C155" t="s">
        <v>1302</v>
      </c>
      <c r="D155">
        <v>93</v>
      </c>
    </row>
    <row r="156" spans="1:4">
      <c r="A156">
        <v>155</v>
      </c>
      <c r="B156">
        <v>1</v>
      </c>
      <c r="C156" t="s">
        <v>1303</v>
      </c>
      <c r="D156">
        <v>93</v>
      </c>
    </row>
    <row r="157" spans="1:4">
      <c r="A157">
        <v>156</v>
      </c>
      <c r="B157">
        <v>1</v>
      </c>
      <c r="C157" t="s">
        <v>1304</v>
      </c>
      <c r="D157">
        <v>94</v>
      </c>
    </row>
    <row r="158" spans="1:4">
      <c r="A158">
        <v>157</v>
      </c>
      <c r="B158">
        <v>1</v>
      </c>
      <c r="C158" t="s">
        <v>1305</v>
      </c>
      <c r="D158">
        <v>91</v>
      </c>
    </row>
  </sheetData>
  <dataConsolidate/>
  <phoneticPr fontId="1"/>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B7D38-C93C-468A-9936-2D11D49A38AE}">
  <sheetPr codeName="Sheet3"/>
  <dimension ref="A1:G129"/>
  <sheetViews>
    <sheetView workbookViewId="0">
      <pane ySplit="1" topLeftCell="A2" activePane="bottomLeft" state="frozen"/>
      <selection activeCell="G12" sqref="G12"/>
      <selection pane="bottomLeft" activeCell="A2" sqref="A2"/>
    </sheetView>
  </sheetViews>
  <sheetFormatPr defaultRowHeight="13.5"/>
  <cols>
    <col min="1" max="1" width="4.5" style="7" bestFit="1" customWidth="1"/>
    <col min="2" max="2" width="4.5" bestFit="1" customWidth="1"/>
    <col min="3" max="3" width="5.5" bestFit="1" customWidth="1"/>
    <col min="4" max="4" width="45.625" customWidth="1"/>
    <col min="5" max="5" width="28.25" customWidth="1"/>
    <col min="6" max="6" width="10.25" customWidth="1"/>
  </cols>
  <sheetData>
    <row r="1" spans="1:7" s="6" customFormat="1" ht="141.75" customHeight="1">
      <c r="A1" s="15" t="s">
        <v>130</v>
      </c>
      <c r="B1" s="15" t="s">
        <v>1105</v>
      </c>
      <c r="C1" s="15" t="s">
        <v>1106</v>
      </c>
      <c r="D1" s="16" t="s">
        <v>131</v>
      </c>
      <c r="E1" s="23" t="s">
        <v>132</v>
      </c>
      <c r="F1" s="17" t="s">
        <v>664</v>
      </c>
      <c r="G1" s="15" t="s">
        <v>696</v>
      </c>
    </row>
    <row r="2" spans="1:7">
      <c r="A2" s="7">
        <v>0</v>
      </c>
      <c r="B2" s="7">
        <v>0</v>
      </c>
      <c r="C2" t="str">
        <f>VLOOKUP(B2,_Pitch!$A$2:$B$129,2,FALSE)</f>
        <v>C-2</v>
      </c>
      <c r="D2" s="14"/>
      <c r="E2" s="14"/>
      <c r="F2" s="14"/>
    </row>
    <row r="3" spans="1:7">
      <c r="A3" s="7">
        <v>1</v>
      </c>
      <c r="B3" s="7">
        <v>1</v>
      </c>
      <c r="C3" t="str">
        <f>VLOOKUP(B3,_Pitch!$A$2:$B$129,2,FALSE)</f>
        <v>C#-2</v>
      </c>
      <c r="D3" s="14"/>
      <c r="E3" s="14"/>
      <c r="F3" s="14"/>
    </row>
    <row r="4" spans="1:7">
      <c r="A4" s="7">
        <v>2</v>
      </c>
      <c r="B4" s="7">
        <v>2</v>
      </c>
      <c r="C4" t="str">
        <f>VLOOKUP(B4,_Pitch!$A$2:$B$129,2,FALSE)</f>
        <v>D-2</v>
      </c>
      <c r="D4" s="14"/>
      <c r="E4" s="14"/>
      <c r="F4" s="14"/>
    </row>
    <row r="5" spans="1:7">
      <c r="A5" s="7">
        <v>3</v>
      </c>
      <c r="B5" s="7">
        <v>3</v>
      </c>
      <c r="C5" t="str">
        <f>VLOOKUP(B5,_Pitch!$A$2:$B$129,2,FALSE)</f>
        <v>D#-2</v>
      </c>
      <c r="D5" s="14"/>
      <c r="E5" s="14"/>
      <c r="F5" s="14"/>
    </row>
    <row r="6" spans="1:7">
      <c r="A6" s="7">
        <v>4</v>
      </c>
      <c r="B6" s="7">
        <v>4</v>
      </c>
      <c r="C6" t="str">
        <f>VLOOKUP(B6,_Pitch!$A$2:$B$129,2,FALSE)</f>
        <v>E-2</v>
      </c>
      <c r="D6" s="14"/>
      <c r="E6" s="14"/>
      <c r="F6" s="14"/>
    </row>
    <row r="7" spans="1:7">
      <c r="A7" s="7">
        <v>5</v>
      </c>
      <c r="B7" s="7">
        <v>5</v>
      </c>
      <c r="C7" t="str">
        <f>VLOOKUP(B7,_Pitch!$A$2:$B$129,2,FALSE)</f>
        <v>F-2</v>
      </c>
      <c r="D7" s="14"/>
      <c r="E7" s="14"/>
      <c r="F7" s="14"/>
    </row>
    <row r="8" spans="1:7">
      <c r="A8" s="7">
        <v>6</v>
      </c>
      <c r="B8" s="7">
        <v>6</v>
      </c>
      <c r="C8" t="str">
        <f>VLOOKUP(B8,_Pitch!$A$2:$B$129,2,FALSE)</f>
        <v>F#-2</v>
      </c>
      <c r="D8" s="14"/>
      <c r="E8" s="14"/>
      <c r="F8" s="14"/>
    </row>
    <row r="9" spans="1:7">
      <c r="A9" s="7">
        <v>7</v>
      </c>
      <c r="B9" s="7">
        <v>7</v>
      </c>
      <c r="C9" t="str">
        <f>VLOOKUP(B9,_Pitch!$A$2:$B$129,2,FALSE)</f>
        <v>G-2</v>
      </c>
      <c r="D9" s="14"/>
      <c r="E9" s="14"/>
      <c r="F9" s="14"/>
    </row>
    <row r="10" spans="1:7">
      <c r="A10" s="7">
        <v>8</v>
      </c>
      <c r="B10" s="7">
        <v>8</v>
      </c>
      <c r="C10" t="str">
        <f>VLOOKUP(B10,_Pitch!$A$2:$B$129,2,FALSE)</f>
        <v>G#-2</v>
      </c>
      <c r="D10" s="14"/>
      <c r="E10" s="14"/>
      <c r="F10" s="14"/>
    </row>
    <row r="11" spans="1:7">
      <c r="A11" s="7">
        <v>9</v>
      </c>
      <c r="B11" s="7">
        <v>9</v>
      </c>
      <c r="C11" t="str">
        <f>VLOOKUP(B11,_Pitch!$A$2:$B$129,2,FALSE)</f>
        <v>A-2</v>
      </c>
      <c r="D11" s="14"/>
      <c r="E11" s="14"/>
      <c r="F11" s="14"/>
    </row>
    <row r="12" spans="1:7">
      <c r="A12" s="7">
        <v>10</v>
      </c>
      <c r="B12" s="7">
        <v>10</v>
      </c>
      <c r="C12" t="str">
        <f>VLOOKUP(B12,_Pitch!$A$2:$B$129,2,FALSE)</f>
        <v>A#-2</v>
      </c>
      <c r="D12" s="14"/>
      <c r="E12" s="14"/>
      <c r="F12" s="14"/>
    </row>
    <row r="13" spans="1:7">
      <c r="A13" s="7">
        <v>11</v>
      </c>
      <c r="B13" s="7">
        <v>11</v>
      </c>
      <c r="C13" t="str">
        <f>VLOOKUP(B13,_Pitch!$A$2:$B$129,2,FALSE)</f>
        <v>B-2</v>
      </c>
      <c r="D13" s="14"/>
      <c r="E13" s="14"/>
      <c r="F13" s="14"/>
    </row>
    <row r="14" spans="1:7">
      <c r="A14" s="7">
        <v>12</v>
      </c>
      <c r="B14" s="7">
        <v>12</v>
      </c>
      <c r="C14" t="str">
        <f>VLOOKUP(B14,_Pitch!$A$2:$B$129,2,FALSE)</f>
        <v>C-1</v>
      </c>
      <c r="D14" s="14"/>
      <c r="E14" s="14"/>
      <c r="F14" s="14"/>
    </row>
    <row r="15" spans="1:7">
      <c r="A15" s="7">
        <v>13</v>
      </c>
      <c r="B15" s="7">
        <v>13</v>
      </c>
      <c r="C15" t="str">
        <f>VLOOKUP(B15,_Pitch!$A$2:$B$129,2,FALSE)</f>
        <v>C#-1</v>
      </c>
      <c r="D15" s="14"/>
      <c r="E15" s="14"/>
      <c r="F15" s="14"/>
    </row>
    <row r="16" spans="1:7">
      <c r="A16" s="7">
        <v>14</v>
      </c>
      <c r="B16" s="7">
        <v>14</v>
      </c>
      <c r="C16" t="str">
        <f>VLOOKUP(B16,_Pitch!$A$2:$B$129,2,FALSE)</f>
        <v>D-1</v>
      </c>
      <c r="D16" s="14"/>
      <c r="E16" s="14"/>
      <c r="F16" s="14"/>
    </row>
    <row r="17" spans="1:6">
      <c r="A17" s="7">
        <v>15</v>
      </c>
      <c r="B17" s="7">
        <v>15</v>
      </c>
      <c r="C17" t="str">
        <f>VLOOKUP(B17,_Pitch!$A$2:$B$129,2,FALSE)</f>
        <v>D#-1</v>
      </c>
      <c r="D17" s="14"/>
      <c r="E17" s="14"/>
      <c r="F17" s="14"/>
    </row>
    <row r="18" spans="1:6">
      <c r="A18" s="7">
        <v>16</v>
      </c>
      <c r="B18" s="7">
        <v>16</v>
      </c>
      <c r="C18" t="str">
        <f>VLOOKUP(B18,_Pitch!$A$2:$B$129,2,FALSE)</f>
        <v>E-1</v>
      </c>
      <c r="D18" s="14"/>
      <c r="E18" s="14"/>
      <c r="F18" s="14"/>
    </row>
    <row r="19" spans="1:6">
      <c r="A19" s="7">
        <v>17</v>
      </c>
      <c r="B19" s="7">
        <v>17</v>
      </c>
      <c r="C19" t="str">
        <f>VLOOKUP(B19,_Pitch!$A$2:$B$129,2,FALSE)</f>
        <v>F-1</v>
      </c>
      <c r="D19" s="14"/>
      <c r="E19" s="14"/>
      <c r="F19" s="14"/>
    </row>
    <row r="20" spans="1:6">
      <c r="A20" s="7">
        <v>18</v>
      </c>
      <c r="B20" s="7">
        <v>18</v>
      </c>
      <c r="C20" t="str">
        <f>VLOOKUP(B20,_Pitch!$A$2:$B$129,2,FALSE)</f>
        <v>F#-1</v>
      </c>
      <c r="D20" s="14"/>
      <c r="E20" s="14"/>
      <c r="F20" s="14"/>
    </row>
    <row r="21" spans="1:6">
      <c r="A21" s="7">
        <v>19</v>
      </c>
      <c r="B21" s="7">
        <v>19</v>
      </c>
      <c r="C21" t="str">
        <f>VLOOKUP(B21,_Pitch!$A$2:$B$129,2,FALSE)</f>
        <v>G-1</v>
      </c>
      <c r="D21" s="14"/>
      <c r="E21" s="14"/>
      <c r="F21" s="14"/>
    </row>
    <row r="22" spans="1:6">
      <c r="A22" s="7">
        <v>20</v>
      </c>
      <c r="B22" s="7">
        <v>20</v>
      </c>
      <c r="C22" t="str">
        <f>VLOOKUP(B22,_Pitch!$A$2:$B$129,2,FALSE)</f>
        <v>G#-1</v>
      </c>
      <c r="D22" s="14"/>
      <c r="E22" s="14"/>
      <c r="F22" s="14"/>
    </row>
    <row r="23" spans="1:6">
      <c r="A23" s="7">
        <v>21</v>
      </c>
      <c r="B23" s="7">
        <v>21</v>
      </c>
      <c r="C23" t="str">
        <f>VLOOKUP(B23,_Pitch!$A$2:$B$129,2,FALSE)</f>
        <v>A-1</v>
      </c>
      <c r="D23" s="14"/>
      <c r="E23" s="14"/>
      <c r="F23" s="14"/>
    </row>
    <row r="24" spans="1:6">
      <c r="A24" s="7">
        <v>22</v>
      </c>
      <c r="B24" s="7">
        <v>22</v>
      </c>
      <c r="C24" t="str">
        <f>VLOOKUP(B24,_Pitch!$A$2:$B$129,2,FALSE)</f>
        <v>A#-1</v>
      </c>
      <c r="D24" s="14"/>
      <c r="E24" s="14"/>
      <c r="F24" s="14"/>
    </row>
    <row r="25" spans="1:6">
      <c r="A25" s="7">
        <v>23</v>
      </c>
      <c r="B25" s="7">
        <v>23</v>
      </c>
      <c r="C25" t="str">
        <f>VLOOKUP(B25,_Pitch!$A$2:$B$129,2,FALSE)</f>
        <v>B-1</v>
      </c>
      <c r="D25" s="14"/>
      <c r="E25" s="14"/>
      <c r="F25" s="14"/>
    </row>
    <row r="26" spans="1:6">
      <c r="A26" s="7">
        <v>24</v>
      </c>
      <c r="B26" s="7">
        <v>24</v>
      </c>
      <c r="C26" t="str">
        <f>VLOOKUP(B26,_Pitch!$A$2:$B$129,2,FALSE)</f>
        <v>C0</v>
      </c>
      <c r="D26" s="14"/>
      <c r="E26" s="14"/>
      <c r="F26" s="14"/>
    </row>
    <row r="27" spans="1:6">
      <c r="A27" s="7">
        <v>25</v>
      </c>
      <c r="B27" s="7">
        <v>25</v>
      </c>
      <c r="C27" t="str">
        <f>VLOOKUP(B27,_Pitch!$A$2:$B$129,2,FALSE)</f>
        <v>C#0</v>
      </c>
      <c r="D27" s="14"/>
      <c r="E27" s="14"/>
      <c r="F27" s="14"/>
    </row>
    <row r="28" spans="1:6">
      <c r="A28" s="7">
        <v>26</v>
      </c>
      <c r="B28" s="7">
        <v>26</v>
      </c>
      <c r="C28" t="str">
        <f>VLOOKUP(B28,_Pitch!$A$2:$B$129,2,FALSE)</f>
        <v>D0</v>
      </c>
      <c r="D28" s="14"/>
      <c r="E28" s="14"/>
      <c r="F28" s="14"/>
    </row>
    <row r="29" spans="1:6">
      <c r="A29" s="7">
        <v>27</v>
      </c>
      <c r="B29" s="7">
        <v>27</v>
      </c>
      <c r="C29" t="str">
        <f>VLOOKUP(B29,_Pitch!$A$2:$B$129,2,FALSE)</f>
        <v>D#0</v>
      </c>
      <c r="D29" s="14"/>
      <c r="E29" s="14"/>
      <c r="F29" s="14"/>
    </row>
    <row r="30" spans="1:6">
      <c r="A30" s="7">
        <v>28</v>
      </c>
      <c r="B30" s="7">
        <v>28</v>
      </c>
      <c r="C30" t="str">
        <f>VLOOKUP(B30,_Pitch!$A$2:$B$129,2,FALSE)</f>
        <v>E0</v>
      </c>
      <c r="D30" s="14"/>
      <c r="E30" s="14"/>
      <c r="F30" s="14"/>
    </row>
    <row r="31" spans="1:6">
      <c r="A31" s="7">
        <v>29</v>
      </c>
      <c r="B31" s="7">
        <v>29</v>
      </c>
      <c r="C31" t="str">
        <f>VLOOKUP(B31,_Pitch!$A$2:$B$129,2,FALSE)</f>
        <v>F0</v>
      </c>
      <c r="D31" s="14"/>
      <c r="E31" s="14"/>
      <c r="F31" s="14"/>
    </row>
    <row r="32" spans="1:6">
      <c r="A32" s="7">
        <v>30</v>
      </c>
      <c r="B32" s="7">
        <v>30</v>
      </c>
      <c r="C32" t="str">
        <f>VLOOKUP(B32,_Pitch!$A$2:$B$129,2,FALSE)</f>
        <v>F#0</v>
      </c>
      <c r="D32" s="14"/>
      <c r="E32" s="14"/>
      <c r="F32" s="14"/>
    </row>
    <row r="33" spans="1:6">
      <c r="A33" s="7">
        <v>31</v>
      </c>
      <c r="B33" s="7">
        <v>31</v>
      </c>
      <c r="C33" t="str">
        <f>VLOOKUP(B33,_Pitch!$A$2:$B$129,2,FALSE)</f>
        <v>G0</v>
      </c>
      <c r="D33" s="14"/>
      <c r="E33" s="14"/>
      <c r="F33" s="14"/>
    </row>
    <row r="34" spans="1:6">
      <c r="A34" s="7">
        <v>32</v>
      </c>
      <c r="B34" s="7">
        <v>32</v>
      </c>
      <c r="C34" t="str">
        <f>VLOOKUP(B34,_Pitch!$A$2:$B$129,2,FALSE)</f>
        <v>G#0</v>
      </c>
      <c r="D34" s="14"/>
      <c r="E34" s="14"/>
      <c r="F34" s="14"/>
    </row>
    <row r="35" spans="1:6">
      <c r="A35" s="7">
        <v>33</v>
      </c>
      <c r="B35" s="7">
        <v>33</v>
      </c>
      <c r="C35" t="str">
        <f>VLOOKUP(B35,_Pitch!$A$2:$B$129,2,FALSE)</f>
        <v>A0</v>
      </c>
      <c r="D35" s="14"/>
      <c r="E35" s="14"/>
      <c r="F35" s="14"/>
    </row>
    <row r="36" spans="1:6">
      <c r="A36" s="7">
        <v>34</v>
      </c>
      <c r="B36" s="7">
        <v>34</v>
      </c>
      <c r="C36" t="str">
        <f>VLOOKUP(B36,_Pitch!$A$2:$B$129,2,FALSE)</f>
        <v>A#0</v>
      </c>
      <c r="D36" s="14"/>
      <c r="E36" s="14"/>
      <c r="F36" s="14"/>
    </row>
    <row r="37" spans="1:6">
      <c r="A37" s="7">
        <v>35</v>
      </c>
      <c r="B37" s="7">
        <v>35</v>
      </c>
      <c r="C37" t="str">
        <f>VLOOKUP(B37,_Pitch!$A$2:$B$129,2,FALSE)</f>
        <v>B0</v>
      </c>
      <c r="D37" s="14"/>
      <c r="E37" s="14"/>
      <c r="F37" s="14"/>
    </row>
    <row r="38" spans="1:6">
      <c r="A38" s="7">
        <v>36</v>
      </c>
      <c r="B38" s="7">
        <v>36</v>
      </c>
      <c r="C38" t="str">
        <f>VLOOKUP(B38,_Pitch!$A$2:$B$129,2,FALSE)</f>
        <v>C1</v>
      </c>
      <c r="D38" s="14"/>
      <c r="E38" s="14"/>
      <c r="F38" s="14"/>
    </row>
    <row r="39" spans="1:6">
      <c r="A39" s="7">
        <v>37</v>
      </c>
      <c r="B39" s="7">
        <v>37</v>
      </c>
      <c r="C39" t="str">
        <f>VLOOKUP(B39,_Pitch!$A$2:$B$129,2,FALSE)</f>
        <v>C#1</v>
      </c>
      <c r="D39" s="14"/>
      <c r="E39" s="14"/>
      <c r="F39" s="14"/>
    </row>
    <row r="40" spans="1:6">
      <c r="A40" s="7">
        <v>38</v>
      </c>
      <c r="B40" s="7">
        <v>38</v>
      </c>
      <c r="C40" t="str">
        <f>VLOOKUP(B40,_Pitch!$A$2:$B$129,2,FALSE)</f>
        <v>D1</v>
      </c>
      <c r="D40" s="14"/>
      <c r="E40" s="14"/>
      <c r="F40" s="14"/>
    </row>
    <row r="41" spans="1:6">
      <c r="A41" s="7">
        <v>39</v>
      </c>
      <c r="B41" s="7">
        <v>39</v>
      </c>
      <c r="C41" t="str">
        <f>VLOOKUP(B41,_Pitch!$A$2:$B$129,2,FALSE)</f>
        <v>D#1</v>
      </c>
      <c r="D41" s="14"/>
      <c r="E41" s="14"/>
      <c r="F41" s="14"/>
    </row>
    <row r="42" spans="1:6">
      <c r="A42" s="7">
        <v>40</v>
      </c>
      <c r="B42" s="7">
        <v>40</v>
      </c>
      <c r="C42" t="str">
        <f>VLOOKUP(B42,_Pitch!$A$2:$B$129,2,FALSE)</f>
        <v>E1</v>
      </c>
      <c r="D42" s="14"/>
      <c r="E42" s="14"/>
      <c r="F42" s="14"/>
    </row>
    <row r="43" spans="1:6">
      <c r="A43" s="7">
        <v>41</v>
      </c>
      <c r="B43" s="7">
        <v>41</v>
      </c>
      <c r="C43" t="str">
        <f>VLOOKUP(B43,_Pitch!$A$2:$B$129,2,FALSE)</f>
        <v>F1</v>
      </c>
      <c r="D43" s="14"/>
      <c r="E43" s="14"/>
      <c r="F43" s="14"/>
    </row>
    <row r="44" spans="1:6">
      <c r="A44" s="7">
        <v>42</v>
      </c>
      <c r="B44" s="7">
        <v>42</v>
      </c>
      <c r="C44" t="str">
        <f>VLOOKUP(B44,_Pitch!$A$2:$B$129,2,FALSE)</f>
        <v>F#1</v>
      </c>
      <c r="D44" s="14"/>
      <c r="E44" s="14"/>
      <c r="F44" s="14"/>
    </row>
    <row r="45" spans="1:6">
      <c r="A45" s="7">
        <v>43</v>
      </c>
      <c r="B45" s="7">
        <v>43</v>
      </c>
      <c r="C45" t="str">
        <f>VLOOKUP(B45,_Pitch!$A$2:$B$129,2,FALSE)</f>
        <v>G1</v>
      </c>
      <c r="D45" s="14"/>
      <c r="E45" s="14"/>
      <c r="F45" s="14"/>
    </row>
    <row r="46" spans="1:6">
      <c r="A46" s="7">
        <v>44</v>
      </c>
      <c r="B46" s="7">
        <v>44</v>
      </c>
      <c r="C46" t="str">
        <f>VLOOKUP(B46,_Pitch!$A$2:$B$129,2,FALSE)</f>
        <v>G#1</v>
      </c>
      <c r="D46" s="14"/>
      <c r="E46" s="14"/>
      <c r="F46" s="14"/>
    </row>
    <row r="47" spans="1:6">
      <c r="A47" s="7">
        <v>45</v>
      </c>
      <c r="B47" s="7">
        <v>45</v>
      </c>
      <c r="C47" t="str">
        <f>VLOOKUP(B47,_Pitch!$A$2:$B$129,2,FALSE)</f>
        <v>A1</v>
      </c>
      <c r="D47" s="14"/>
      <c r="E47" s="14"/>
      <c r="F47" s="14"/>
    </row>
    <row r="48" spans="1:6">
      <c r="A48" s="7">
        <v>46</v>
      </c>
      <c r="B48" s="7">
        <v>46</v>
      </c>
      <c r="C48" t="str">
        <f>VLOOKUP(B48,_Pitch!$A$2:$B$129,2,FALSE)</f>
        <v>A#1</v>
      </c>
      <c r="D48" s="14"/>
      <c r="E48" s="14"/>
      <c r="F48" s="14"/>
    </row>
    <row r="49" spans="1:6">
      <c r="A49" s="7">
        <v>47</v>
      </c>
      <c r="B49" s="7">
        <v>47</v>
      </c>
      <c r="C49" t="str">
        <f>VLOOKUP(B49,_Pitch!$A$2:$B$129,2,FALSE)</f>
        <v>B1</v>
      </c>
      <c r="D49" s="14"/>
      <c r="E49" s="14"/>
      <c r="F49" s="14"/>
    </row>
    <row r="50" spans="1:6">
      <c r="A50" s="7">
        <v>48</v>
      </c>
      <c r="B50" s="7">
        <v>48</v>
      </c>
      <c r="C50" t="str">
        <f>VLOOKUP(B50,_Pitch!$A$2:$B$129,2,FALSE)</f>
        <v>C2</v>
      </c>
      <c r="D50" s="14"/>
      <c r="E50" s="14"/>
      <c r="F50" s="14"/>
    </row>
    <row r="51" spans="1:6">
      <c r="A51" s="7">
        <v>49</v>
      </c>
      <c r="B51" s="7">
        <v>49</v>
      </c>
      <c r="C51" t="str">
        <f>VLOOKUP(B51,_Pitch!$A$2:$B$129,2,FALSE)</f>
        <v>C#2</v>
      </c>
      <c r="D51" s="14"/>
      <c r="E51" s="14"/>
      <c r="F51" s="14"/>
    </row>
    <row r="52" spans="1:6">
      <c r="A52" s="7">
        <v>50</v>
      </c>
      <c r="B52" s="7">
        <v>50</v>
      </c>
      <c r="C52" t="str">
        <f>VLOOKUP(B52,_Pitch!$A$2:$B$129,2,FALSE)</f>
        <v>D2</v>
      </c>
      <c r="D52" s="14"/>
      <c r="E52" s="14"/>
      <c r="F52" s="14"/>
    </row>
    <row r="53" spans="1:6">
      <c r="A53" s="7">
        <v>51</v>
      </c>
      <c r="B53" s="7">
        <v>51</v>
      </c>
      <c r="C53" t="str">
        <f>VLOOKUP(B53,_Pitch!$A$2:$B$129,2,FALSE)</f>
        <v>D#2</v>
      </c>
      <c r="D53" s="14"/>
      <c r="E53" s="14"/>
      <c r="F53" s="14"/>
    </row>
    <row r="54" spans="1:6">
      <c r="A54" s="7">
        <v>52</v>
      </c>
      <c r="B54" s="7">
        <v>52</v>
      </c>
      <c r="C54" t="str">
        <f>VLOOKUP(B54,_Pitch!$A$2:$B$129,2,FALSE)</f>
        <v>E2</v>
      </c>
      <c r="D54" s="14"/>
      <c r="E54" s="14"/>
      <c r="F54" s="14"/>
    </row>
    <row r="55" spans="1:6">
      <c r="A55" s="7">
        <v>53</v>
      </c>
      <c r="B55" s="7">
        <v>53</v>
      </c>
      <c r="C55" t="str">
        <f>VLOOKUP(B55,_Pitch!$A$2:$B$129,2,FALSE)</f>
        <v>F2</v>
      </c>
      <c r="D55" s="14"/>
      <c r="E55" s="14"/>
      <c r="F55" s="14"/>
    </row>
    <row r="56" spans="1:6">
      <c r="A56" s="7">
        <v>54</v>
      </c>
      <c r="B56" s="7">
        <v>54</v>
      </c>
      <c r="C56" t="str">
        <f>VLOOKUP(B56,_Pitch!$A$2:$B$129,2,FALSE)</f>
        <v>F#2</v>
      </c>
      <c r="D56" s="14"/>
      <c r="E56" s="14"/>
      <c r="F56" s="14"/>
    </row>
    <row r="57" spans="1:6">
      <c r="A57" s="7">
        <v>55</v>
      </c>
      <c r="B57" s="7">
        <v>55</v>
      </c>
      <c r="C57" t="str">
        <f>VLOOKUP(B57,_Pitch!$A$2:$B$129,2,FALSE)</f>
        <v>G2</v>
      </c>
      <c r="D57" s="14"/>
      <c r="E57" s="14"/>
      <c r="F57" s="14"/>
    </row>
    <row r="58" spans="1:6">
      <c r="A58" s="7">
        <v>56</v>
      </c>
      <c r="B58" s="7">
        <v>56</v>
      </c>
      <c r="C58" t="str">
        <f>VLOOKUP(B58,_Pitch!$A$2:$B$129,2,FALSE)</f>
        <v>G#2</v>
      </c>
      <c r="D58" s="14"/>
      <c r="E58" s="14"/>
      <c r="F58" s="14"/>
    </row>
    <row r="59" spans="1:6">
      <c r="A59" s="7">
        <v>57</v>
      </c>
      <c r="B59" s="7">
        <v>57</v>
      </c>
      <c r="C59" t="str">
        <f>VLOOKUP(B59,_Pitch!$A$2:$B$129,2,FALSE)</f>
        <v>A2</v>
      </c>
      <c r="D59" s="14"/>
      <c r="E59" s="14"/>
      <c r="F59" s="14"/>
    </row>
    <row r="60" spans="1:6">
      <c r="A60" s="7">
        <v>58</v>
      </c>
      <c r="B60" s="7">
        <v>58</v>
      </c>
      <c r="C60" t="str">
        <f>VLOOKUP(B60,_Pitch!$A$2:$B$129,2,FALSE)</f>
        <v>A#2</v>
      </c>
      <c r="D60" s="14"/>
      <c r="E60" s="14"/>
      <c r="F60" s="14"/>
    </row>
    <row r="61" spans="1:6">
      <c r="A61" s="7">
        <v>59</v>
      </c>
      <c r="B61" s="7">
        <v>59</v>
      </c>
      <c r="C61" t="str">
        <f>VLOOKUP(B61,_Pitch!$A$2:$B$129,2,FALSE)</f>
        <v>B2</v>
      </c>
      <c r="D61" s="14"/>
      <c r="E61" s="14"/>
      <c r="F61" s="14"/>
    </row>
    <row r="62" spans="1:6">
      <c r="A62" s="7">
        <v>60</v>
      </c>
      <c r="B62" s="7">
        <v>60</v>
      </c>
      <c r="C62" t="str">
        <f>VLOOKUP(B62,_Pitch!$A$2:$B$129,2,FALSE)</f>
        <v>C3</v>
      </c>
      <c r="D62" s="14"/>
      <c r="E62" s="14"/>
      <c r="F62" s="14"/>
    </row>
    <row r="63" spans="1:6">
      <c r="A63" s="7">
        <v>61</v>
      </c>
      <c r="B63" s="7">
        <v>61</v>
      </c>
      <c r="C63" t="str">
        <f>VLOOKUP(B63,_Pitch!$A$2:$B$129,2,FALSE)</f>
        <v>C#3</v>
      </c>
      <c r="D63" s="14"/>
      <c r="E63" s="14"/>
      <c r="F63" s="14"/>
    </row>
    <row r="64" spans="1:6">
      <c r="A64" s="7">
        <v>62</v>
      </c>
      <c r="B64" s="7">
        <v>62</v>
      </c>
      <c r="C64" t="str">
        <f>VLOOKUP(B64,_Pitch!$A$2:$B$129,2,FALSE)</f>
        <v>D3</v>
      </c>
      <c r="D64" s="14"/>
      <c r="E64" s="14"/>
      <c r="F64" s="14"/>
    </row>
    <row r="65" spans="1:6">
      <c r="A65" s="7">
        <v>63</v>
      </c>
      <c r="B65" s="7">
        <v>63</v>
      </c>
      <c r="C65" t="str">
        <f>VLOOKUP(B65,_Pitch!$A$2:$B$129,2,FALSE)</f>
        <v>D#3</v>
      </c>
      <c r="D65" s="14"/>
      <c r="E65" s="14"/>
      <c r="F65" s="14"/>
    </row>
    <row r="66" spans="1:6">
      <c r="A66" s="7">
        <v>64</v>
      </c>
      <c r="B66" s="7">
        <v>64</v>
      </c>
      <c r="C66" t="str">
        <f>VLOOKUP(B66,_Pitch!$A$2:$B$129,2,FALSE)</f>
        <v>E3</v>
      </c>
      <c r="D66" s="14"/>
      <c r="E66" s="14"/>
      <c r="F66" s="14"/>
    </row>
    <row r="67" spans="1:6">
      <c r="A67" s="7">
        <v>65</v>
      </c>
      <c r="B67" s="7">
        <v>65</v>
      </c>
      <c r="C67" t="str">
        <f>VLOOKUP(B67,_Pitch!$A$2:$B$129,2,FALSE)</f>
        <v>F3</v>
      </c>
      <c r="D67" s="14"/>
      <c r="E67" s="14"/>
      <c r="F67" s="14"/>
    </row>
    <row r="68" spans="1:6">
      <c r="A68" s="7">
        <v>66</v>
      </c>
      <c r="B68" s="7">
        <v>66</v>
      </c>
      <c r="C68" t="str">
        <f>VLOOKUP(B68,_Pitch!$A$2:$B$129,2,FALSE)</f>
        <v>F#3</v>
      </c>
      <c r="D68" s="14"/>
      <c r="E68" s="14"/>
      <c r="F68" s="14"/>
    </row>
    <row r="69" spans="1:6">
      <c r="A69" s="7">
        <v>67</v>
      </c>
      <c r="B69" s="7">
        <v>67</v>
      </c>
      <c r="C69" t="str">
        <f>VLOOKUP(B69,_Pitch!$A$2:$B$129,2,FALSE)</f>
        <v>G3</v>
      </c>
      <c r="D69" s="14"/>
      <c r="E69" s="14"/>
      <c r="F69" s="14"/>
    </row>
    <row r="70" spans="1:6">
      <c r="A70" s="7">
        <v>68</v>
      </c>
      <c r="B70" s="7">
        <v>68</v>
      </c>
      <c r="C70" t="str">
        <f>VLOOKUP(B70,_Pitch!$A$2:$B$129,2,FALSE)</f>
        <v>G#3</v>
      </c>
      <c r="D70" s="14"/>
      <c r="E70" s="14"/>
      <c r="F70" s="14"/>
    </row>
    <row r="71" spans="1:6">
      <c r="A71" s="7">
        <v>69</v>
      </c>
      <c r="B71" s="7">
        <v>69</v>
      </c>
      <c r="C71" t="str">
        <f>VLOOKUP(B71,_Pitch!$A$2:$B$129,2,FALSE)</f>
        <v>A3</v>
      </c>
      <c r="D71" s="14"/>
      <c r="E71" s="14"/>
      <c r="F71" s="14"/>
    </row>
    <row r="72" spans="1:6">
      <c r="A72" s="7">
        <v>70</v>
      </c>
      <c r="B72" s="7">
        <v>70</v>
      </c>
      <c r="C72" t="str">
        <f>VLOOKUP(B72,_Pitch!$A$2:$B$129,2,FALSE)</f>
        <v>A#3</v>
      </c>
      <c r="D72" s="14"/>
      <c r="E72" s="14"/>
      <c r="F72" s="14"/>
    </row>
    <row r="73" spans="1:6">
      <c r="A73" s="7">
        <v>71</v>
      </c>
      <c r="B73" s="7">
        <v>71</v>
      </c>
      <c r="C73" t="str">
        <f>VLOOKUP(B73,_Pitch!$A$2:$B$129,2,FALSE)</f>
        <v>B3</v>
      </c>
      <c r="D73" s="14"/>
      <c r="E73" s="14"/>
      <c r="F73" s="14"/>
    </row>
    <row r="74" spans="1:6">
      <c r="A74" s="7">
        <v>72</v>
      </c>
      <c r="B74" s="7">
        <v>72</v>
      </c>
      <c r="C74" t="str">
        <f>VLOOKUP(B74,_Pitch!$A$2:$B$129,2,FALSE)</f>
        <v>C4</v>
      </c>
      <c r="D74" s="14"/>
      <c r="E74" s="14"/>
      <c r="F74" s="14"/>
    </row>
    <row r="75" spans="1:6">
      <c r="A75" s="7">
        <v>73</v>
      </c>
      <c r="B75" s="7">
        <v>73</v>
      </c>
      <c r="C75" t="str">
        <f>VLOOKUP(B75,_Pitch!$A$2:$B$129,2,FALSE)</f>
        <v>C#4</v>
      </c>
      <c r="D75" s="14"/>
      <c r="E75" s="14"/>
      <c r="F75" s="14"/>
    </row>
    <row r="76" spans="1:6">
      <c r="A76" s="7">
        <v>74</v>
      </c>
      <c r="B76" s="7">
        <v>74</v>
      </c>
      <c r="C76" t="str">
        <f>VLOOKUP(B76,_Pitch!$A$2:$B$129,2,FALSE)</f>
        <v>D4</v>
      </c>
      <c r="D76" s="14"/>
      <c r="E76" s="14"/>
      <c r="F76" s="14"/>
    </row>
    <row r="77" spans="1:6">
      <c r="A77" s="7">
        <v>75</v>
      </c>
      <c r="B77" s="7">
        <v>75</v>
      </c>
      <c r="C77" t="str">
        <f>VLOOKUP(B77,_Pitch!$A$2:$B$129,2,FALSE)</f>
        <v>D#4</v>
      </c>
      <c r="D77" s="14"/>
      <c r="E77" s="14"/>
      <c r="F77" s="14"/>
    </row>
    <row r="78" spans="1:6">
      <c r="A78" s="7">
        <v>76</v>
      </c>
      <c r="B78" s="7">
        <v>76</v>
      </c>
      <c r="C78" t="str">
        <f>VLOOKUP(B78,_Pitch!$A$2:$B$129,2,FALSE)</f>
        <v>E4</v>
      </c>
      <c r="D78" s="14"/>
      <c r="E78" s="14"/>
      <c r="F78" s="14"/>
    </row>
    <row r="79" spans="1:6">
      <c r="A79" s="7">
        <v>77</v>
      </c>
      <c r="B79" s="7">
        <v>77</v>
      </c>
      <c r="C79" t="str">
        <f>VLOOKUP(B79,_Pitch!$A$2:$B$129,2,FALSE)</f>
        <v>F4</v>
      </c>
      <c r="D79" s="14"/>
      <c r="E79" s="14"/>
      <c r="F79" s="14"/>
    </row>
    <row r="80" spans="1:6">
      <c r="A80" s="7">
        <v>78</v>
      </c>
      <c r="B80" s="7">
        <v>78</v>
      </c>
      <c r="C80" t="str">
        <f>VLOOKUP(B80,_Pitch!$A$2:$B$129,2,FALSE)</f>
        <v>F#4</v>
      </c>
      <c r="D80" s="14"/>
      <c r="E80" s="14"/>
      <c r="F80" s="14"/>
    </row>
    <row r="81" spans="1:6">
      <c r="A81" s="7">
        <v>79</v>
      </c>
      <c r="B81" s="7">
        <v>79</v>
      </c>
      <c r="C81" t="str">
        <f>VLOOKUP(B81,_Pitch!$A$2:$B$129,2,FALSE)</f>
        <v>G4</v>
      </c>
      <c r="D81" s="14"/>
      <c r="E81" s="14"/>
      <c r="F81" s="14"/>
    </row>
    <row r="82" spans="1:6">
      <c r="A82" s="7">
        <v>80</v>
      </c>
      <c r="B82" s="7">
        <v>80</v>
      </c>
      <c r="C82" t="str">
        <f>VLOOKUP(B82,_Pitch!$A$2:$B$129,2,FALSE)</f>
        <v>G#4</v>
      </c>
      <c r="D82" s="14"/>
      <c r="E82" s="14"/>
      <c r="F82" s="14"/>
    </row>
    <row r="83" spans="1:6">
      <c r="A83" s="7">
        <v>81</v>
      </c>
      <c r="B83" s="7">
        <v>81</v>
      </c>
      <c r="C83" t="str">
        <f>VLOOKUP(B83,_Pitch!$A$2:$B$129,2,FALSE)</f>
        <v>A4</v>
      </c>
      <c r="D83" s="14"/>
      <c r="E83" s="14"/>
      <c r="F83" s="14"/>
    </row>
    <row r="84" spans="1:6">
      <c r="A84" s="7">
        <v>82</v>
      </c>
      <c r="B84" s="7">
        <v>82</v>
      </c>
      <c r="C84" t="str">
        <f>VLOOKUP(B84,_Pitch!$A$2:$B$129,2,FALSE)</f>
        <v>A#4</v>
      </c>
      <c r="D84" s="14"/>
      <c r="E84" s="14"/>
      <c r="F84" s="14"/>
    </row>
    <row r="85" spans="1:6">
      <c r="A85" s="7">
        <v>83</v>
      </c>
      <c r="B85" s="7">
        <v>83</v>
      </c>
      <c r="C85" t="str">
        <f>VLOOKUP(B85,_Pitch!$A$2:$B$129,2,FALSE)</f>
        <v>B4</v>
      </c>
      <c r="D85" s="14"/>
      <c r="E85" s="14"/>
      <c r="F85" s="14"/>
    </row>
    <row r="86" spans="1:6">
      <c r="A86" s="7">
        <v>84</v>
      </c>
      <c r="B86" s="7">
        <v>84</v>
      </c>
      <c r="C86" t="str">
        <f>VLOOKUP(B86,_Pitch!$A$2:$B$129,2,FALSE)</f>
        <v>C5</v>
      </c>
      <c r="D86" s="14"/>
      <c r="E86" s="14"/>
      <c r="F86" s="14"/>
    </row>
    <row r="87" spans="1:6">
      <c r="A87" s="7">
        <v>85</v>
      </c>
      <c r="B87" s="7">
        <v>85</v>
      </c>
      <c r="C87" t="str">
        <f>VLOOKUP(B87,_Pitch!$A$2:$B$129,2,FALSE)</f>
        <v>C#5</v>
      </c>
      <c r="D87" s="14"/>
      <c r="E87" s="14"/>
      <c r="F87" s="14"/>
    </row>
    <row r="88" spans="1:6">
      <c r="A88" s="7">
        <v>86</v>
      </c>
      <c r="B88" s="7">
        <v>86</v>
      </c>
      <c r="C88" t="str">
        <f>VLOOKUP(B88,_Pitch!$A$2:$B$129,2,FALSE)</f>
        <v>D5</v>
      </c>
      <c r="D88" s="14"/>
      <c r="E88" s="14"/>
      <c r="F88" s="14"/>
    </row>
    <row r="89" spans="1:6">
      <c r="A89" s="7">
        <v>87</v>
      </c>
      <c r="B89" s="7">
        <v>87</v>
      </c>
      <c r="C89" t="str">
        <f>VLOOKUP(B89,_Pitch!$A$2:$B$129,2,FALSE)</f>
        <v>D#5</v>
      </c>
      <c r="D89" s="14"/>
      <c r="E89" s="14"/>
      <c r="F89" s="14"/>
    </row>
    <row r="90" spans="1:6">
      <c r="A90" s="7">
        <v>88</v>
      </c>
      <c r="B90" s="7">
        <v>88</v>
      </c>
      <c r="C90" t="str">
        <f>VLOOKUP(B90,_Pitch!$A$2:$B$129,2,FALSE)</f>
        <v>E5</v>
      </c>
      <c r="D90" s="14"/>
      <c r="E90" s="14"/>
      <c r="F90" s="14"/>
    </row>
    <row r="91" spans="1:6">
      <c r="A91" s="7">
        <v>89</v>
      </c>
      <c r="B91" s="7">
        <v>89</v>
      </c>
      <c r="C91" t="str">
        <f>VLOOKUP(B91,_Pitch!$A$2:$B$129,2,FALSE)</f>
        <v>F5</v>
      </c>
      <c r="D91" s="14"/>
      <c r="E91" s="14"/>
      <c r="F91" s="14"/>
    </row>
    <row r="92" spans="1:6">
      <c r="A92" s="7">
        <v>90</v>
      </c>
      <c r="B92" s="7">
        <v>90</v>
      </c>
      <c r="C92" t="str">
        <f>VLOOKUP(B92,_Pitch!$A$2:$B$129,2,FALSE)</f>
        <v>F#5</v>
      </c>
      <c r="D92" s="14"/>
      <c r="E92" s="14"/>
      <c r="F92" s="14"/>
    </row>
    <row r="93" spans="1:6">
      <c r="A93" s="7">
        <v>91</v>
      </c>
      <c r="B93" s="7">
        <v>91</v>
      </c>
      <c r="C93" t="str">
        <f>VLOOKUP(B93,_Pitch!$A$2:$B$129,2,FALSE)</f>
        <v>G5</v>
      </c>
      <c r="D93" s="14"/>
      <c r="E93" s="14"/>
      <c r="F93" s="14"/>
    </row>
    <row r="94" spans="1:6">
      <c r="A94" s="7">
        <v>92</v>
      </c>
      <c r="B94" s="7">
        <v>92</v>
      </c>
      <c r="C94" t="str">
        <f>VLOOKUP(B94,_Pitch!$A$2:$B$129,2,FALSE)</f>
        <v>G#5</v>
      </c>
      <c r="D94" s="14"/>
      <c r="E94" s="14"/>
      <c r="F94" s="14"/>
    </row>
    <row r="95" spans="1:6">
      <c r="A95" s="7">
        <v>93</v>
      </c>
      <c r="B95" s="7">
        <v>93</v>
      </c>
      <c r="C95" t="str">
        <f>VLOOKUP(B95,_Pitch!$A$2:$B$129,2,FALSE)</f>
        <v>A5</v>
      </c>
      <c r="D95" s="14"/>
      <c r="E95" s="14"/>
      <c r="F95" s="14"/>
    </row>
    <row r="96" spans="1:6">
      <c r="A96" s="7">
        <v>94</v>
      </c>
      <c r="B96" s="7">
        <v>94</v>
      </c>
      <c r="C96" t="str">
        <f>VLOOKUP(B96,_Pitch!$A$2:$B$129,2,FALSE)</f>
        <v>A#5</v>
      </c>
      <c r="D96" s="14"/>
      <c r="E96" s="14"/>
      <c r="F96" s="14"/>
    </row>
    <row r="97" spans="1:6">
      <c r="A97" s="7">
        <v>95</v>
      </c>
      <c r="B97" s="7">
        <v>95</v>
      </c>
      <c r="C97" t="str">
        <f>VLOOKUP(B97,_Pitch!$A$2:$B$129,2,FALSE)</f>
        <v>B5</v>
      </c>
      <c r="D97" s="14"/>
      <c r="E97" s="14"/>
      <c r="F97" s="14"/>
    </row>
    <row r="98" spans="1:6">
      <c r="A98" s="7">
        <v>96</v>
      </c>
      <c r="B98" s="7">
        <v>96</v>
      </c>
      <c r="C98" t="str">
        <f>VLOOKUP(B98,_Pitch!$A$2:$B$129,2,FALSE)</f>
        <v>C6</v>
      </c>
      <c r="D98" s="14"/>
      <c r="E98" s="14"/>
      <c r="F98" s="14"/>
    </row>
    <row r="99" spans="1:6">
      <c r="A99" s="7">
        <v>97</v>
      </c>
      <c r="B99" s="7">
        <v>97</v>
      </c>
      <c r="C99" t="str">
        <f>VLOOKUP(B99,_Pitch!$A$2:$B$129,2,FALSE)</f>
        <v>C#6</v>
      </c>
      <c r="D99" s="14"/>
      <c r="E99" s="14"/>
      <c r="F99" s="14"/>
    </row>
    <row r="100" spans="1:6">
      <c r="A100" s="7">
        <v>98</v>
      </c>
      <c r="B100" s="7">
        <v>98</v>
      </c>
      <c r="C100" t="str">
        <f>VLOOKUP(B100,_Pitch!$A$2:$B$129,2,FALSE)</f>
        <v>D6</v>
      </c>
      <c r="D100" s="14"/>
      <c r="E100" s="14"/>
      <c r="F100" s="14"/>
    </row>
    <row r="101" spans="1:6">
      <c r="A101" s="7">
        <v>99</v>
      </c>
      <c r="B101" s="7">
        <v>99</v>
      </c>
      <c r="C101" t="str">
        <f>VLOOKUP(B101,_Pitch!$A$2:$B$129,2,FALSE)</f>
        <v>D#6</v>
      </c>
      <c r="D101" s="14"/>
      <c r="E101" s="14"/>
      <c r="F101" s="14"/>
    </row>
    <row r="102" spans="1:6">
      <c r="A102" s="7">
        <v>100</v>
      </c>
      <c r="B102" s="7">
        <v>100</v>
      </c>
      <c r="C102" t="str">
        <f>VLOOKUP(B102,_Pitch!$A$2:$B$129,2,FALSE)</f>
        <v>E6</v>
      </c>
      <c r="D102" s="14"/>
      <c r="E102" s="14"/>
      <c r="F102" s="14"/>
    </row>
    <row r="103" spans="1:6">
      <c r="A103" s="7">
        <v>101</v>
      </c>
      <c r="B103" s="7">
        <v>101</v>
      </c>
      <c r="C103" t="str">
        <f>VLOOKUP(B103,_Pitch!$A$2:$B$129,2,FALSE)</f>
        <v>F6</v>
      </c>
      <c r="D103" s="14"/>
      <c r="E103" s="14"/>
      <c r="F103" s="14"/>
    </row>
    <row r="104" spans="1:6">
      <c r="A104" s="7">
        <v>102</v>
      </c>
      <c r="B104" s="7">
        <v>102</v>
      </c>
      <c r="C104" t="str">
        <f>VLOOKUP(B104,_Pitch!$A$2:$B$129,2,FALSE)</f>
        <v>F#6</v>
      </c>
      <c r="D104" s="14"/>
      <c r="E104" s="14"/>
      <c r="F104" s="14"/>
    </row>
    <row r="105" spans="1:6">
      <c r="A105" s="7">
        <v>103</v>
      </c>
      <c r="B105" s="7">
        <v>103</v>
      </c>
      <c r="C105" t="str">
        <f>VLOOKUP(B105,_Pitch!$A$2:$B$129,2,FALSE)</f>
        <v>G6</v>
      </c>
      <c r="D105" s="14"/>
      <c r="E105" s="14"/>
      <c r="F105" s="14"/>
    </row>
    <row r="106" spans="1:6">
      <c r="A106" s="7">
        <v>104</v>
      </c>
      <c r="B106" s="7">
        <v>104</v>
      </c>
      <c r="C106" t="str">
        <f>VLOOKUP(B106,_Pitch!$A$2:$B$129,2,FALSE)</f>
        <v>G#6</v>
      </c>
      <c r="D106" s="14"/>
      <c r="E106" s="14"/>
      <c r="F106" s="14"/>
    </row>
    <row r="107" spans="1:6">
      <c r="A107" s="7">
        <v>105</v>
      </c>
      <c r="B107" s="7">
        <v>105</v>
      </c>
      <c r="C107" t="str">
        <f>VLOOKUP(B107,_Pitch!$A$2:$B$129,2,FALSE)</f>
        <v>A6</v>
      </c>
      <c r="D107" s="14"/>
      <c r="E107" s="14"/>
      <c r="F107" s="14"/>
    </row>
    <row r="108" spans="1:6">
      <c r="A108" s="7">
        <v>106</v>
      </c>
      <c r="B108" s="7">
        <v>106</v>
      </c>
      <c r="C108" t="str">
        <f>VLOOKUP(B108,_Pitch!$A$2:$B$129,2,FALSE)</f>
        <v>A#6</v>
      </c>
      <c r="D108" s="14"/>
      <c r="E108" s="14"/>
      <c r="F108" s="14"/>
    </row>
    <row r="109" spans="1:6">
      <c r="A109" s="7">
        <v>107</v>
      </c>
      <c r="B109" s="7">
        <v>107</v>
      </c>
      <c r="C109" t="str">
        <f>VLOOKUP(B109,_Pitch!$A$2:$B$129,2,FALSE)</f>
        <v>B6</v>
      </c>
      <c r="D109" s="14"/>
      <c r="E109" s="14"/>
      <c r="F109" s="14"/>
    </row>
    <row r="110" spans="1:6">
      <c r="A110" s="7">
        <v>108</v>
      </c>
      <c r="B110" s="7">
        <v>108</v>
      </c>
      <c r="C110" t="str">
        <f>VLOOKUP(B110,_Pitch!$A$2:$B$129,2,FALSE)</f>
        <v>C7</v>
      </c>
      <c r="D110" s="14"/>
      <c r="E110" s="14"/>
      <c r="F110" s="14"/>
    </row>
    <row r="111" spans="1:6">
      <c r="A111" s="7">
        <v>109</v>
      </c>
      <c r="B111" s="7">
        <v>109</v>
      </c>
      <c r="C111" t="str">
        <f>VLOOKUP(B111,_Pitch!$A$2:$B$129,2,FALSE)</f>
        <v>C#7</v>
      </c>
      <c r="D111" s="14"/>
      <c r="E111" s="14"/>
      <c r="F111" s="14"/>
    </row>
    <row r="112" spans="1:6">
      <c r="A112" s="7">
        <v>110</v>
      </c>
      <c r="B112" s="7">
        <v>110</v>
      </c>
      <c r="C112" t="str">
        <f>VLOOKUP(B112,_Pitch!$A$2:$B$129,2,FALSE)</f>
        <v>D7</v>
      </c>
      <c r="D112" s="14"/>
      <c r="E112" s="14"/>
      <c r="F112" s="14"/>
    </row>
    <row r="113" spans="1:6">
      <c r="A113" s="7">
        <v>111</v>
      </c>
      <c r="B113" s="7">
        <v>111</v>
      </c>
      <c r="C113" t="str">
        <f>VLOOKUP(B113,_Pitch!$A$2:$B$129,2,FALSE)</f>
        <v>D#7</v>
      </c>
      <c r="D113" s="14"/>
      <c r="E113" s="14"/>
      <c r="F113" s="14"/>
    </row>
    <row r="114" spans="1:6">
      <c r="A114" s="7">
        <v>112</v>
      </c>
      <c r="B114" s="7">
        <v>112</v>
      </c>
      <c r="C114" t="str">
        <f>VLOOKUP(B114,_Pitch!$A$2:$B$129,2,FALSE)</f>
        <v>E7</v>
      </c>
      <c r="D114" s="14"/>
      <c r="E114" s="14"/>
      <c r="F114" s="14"/>
    </row>
    <row r="115" spans="1:6">
      <c r="A115" s="7">
        <v>113</v>
      </c>
      <c r="B115" s="7">
        <v>113</v>
      </c>
      <c r="C115" t="str">
        <f>VLOOKUP(B115,_Pitch!$A$2:$B$129,2,FALSE)</f>
        <v>F7</v>
      </c>
      <c r="D115" s="14"/>
      <c r="E115" s="14"/>
      <c r="F115" s="14"/>
    </row>
    <row r="116" spans="1:6">
      <c r="A116" s="7">
        <v>114</v>
      </c>
      <c r="B116" s="7">
        <v>114</v>
      </c>
      <c r="C116" t="str">
        <f>VLOOKUP(B116,_Pitch!$A$2:$B$129,2,FALSE)</f>
        <v>F#7</v>
      </c>
      <c r="D116" s="14"/>
      <c r="E116" s="14"/>
      <c r="F116" s="14"/>
    </row>
    <row r="117" spans="1:6">
      <c r="A117" s="7">
        <v>115</v>
      </c>
      <c r="B117" s="7">
        <v>115</v>
      </c>
      <c r="C117" t="str">
        <f>VLOOKUP(B117,_Pitch!$A$2:$B$129,2,FALSE)</f>
        <v>G7</v>
      </c>
      <c r="D117" s="14"/>
      <c r="E117" s="14"/>
      <c r="F117" s="14"/>
    </row>
    <row r="118" spans="1:6">
      <c r="A118" s="7">
        <v>116</v>
      </c>
      <c r="B118" s="7">
        <v>116</v>
      </c>
      <c r="C118" t="str">
        <f>VLOOKUP(B118,_Pitch!$A$2:$B$129,2,FALSE)</f>
        <v>G#7</v>
      </c>
      <c r="D118" s="14"/>
      <c r="E118" s="14"/>
      <c r="F118" s="14"/>
    </row>
    <row r="119" spans="1:6">
      <c r="A119" s="7">
        <v>117</v>
      </c>
      <c r="B119" s="7">
        <v>117</v>
      </c>
      <c r="C119" t="str">
        <f>VLOOKUP(B119,_Pitch!$A$2:$B$129,2,FALSE)</f>
        <v>A7</v>
      </c>
      <c r="D119" s="14"/>
      <c r="E119" s="14"/>
      <c r="F119" s="14"/>
    </row>
    <row r="120" spans="1:6">
      <c r="A120" s="7">
        <v>118</v>
      </c>
      <c r="B120" s="7">
        <v>118</v>
      </c>
      <c r="C120" t="str">
        <f>VLOOKUP(B120,_Pitch!$A$2:$B$129,2,FALSE)</f>
        <v>A#7</v>
      </c>
      <c r="D120" s="14"/>
      <c r="E120" s="14"/>
      <c r="F120" s="14"/>
    </row>
    <row r="121" spans="1:6">
      <c r="A121" s="7">
        <v>119</v>
      </c>
      <c r="B121" s="7">
        <v>119</v>
      </c>
      <c r="C121" t="str">
        <f>VLOOKUP(B121,_Pitch!$A$2:$B$129,2,FALSE)</f>
        <v>B7</v>
      </c>
      <c r="D121" s="14"/>
      <c r="E121" s="14"/>
      <c r="F121" s="14"/>
    </row>
    <row r="122" spans="1:6">
      <c r="A122" s="7">
        <v>120</v>
      </c>
      <c r="B122" s="7">
        <v>120</v>
      </c>
      <c r="C122" t="str">
        <f>VLOOKUP(B122,_Pitch!$A$2:$B$129,2,FALSE)</f>
        <v>C8</v>
      </c>
      <c r="D122" s="14"/>
      <c r="E122" s="14"/>
      <c r="F122" s="14"/>
    </row>
    <row r="123" spans="1:6">
      <c r="A123" s="7">
        <v>121</v>
      </c>
      <c r="B123" s="7">
        <v>121</v>
      </c>
      <c r="C123" t="str">
        <f>VLOOKUP(B123,_Pitch!$A$2:$B$129,2,FALSE)</f>
        <v>C#8</v>
      </c>
      <c r="D123" s="14"/>
      <c r="E123" s="14"/>
      <c r="F123" s="14"/>
    </row>
    <row r="124" spans="1:6">
      <c r="A124" s="7">
        <v>122</v>
      </c>
      <c r="B124" s="7">
        <v>122</v>
      </c>
      <c r="C124" t="str">
        <f>VLOOKUP(B124,_Pitch!$A$2:$B$129,2,FALSE)</f>
        <v>D8</v>
      </c>
      <c r="D124" s="14"/>
      <c r="E124" s="14"/>
      <c r="F124" s="14"/>
    </row>
    <row r="125" spans="1:6">
      <c r="A125" s="7">
        <v>123</v>
      </c>
      <c r="B125" s="7">
        <v>123</v>
      </c>
      <c r="C125" t="str">
        <f>VLOOKUP(B125,_Pitch!$A$2:$B$129,2,FALSE)</f>
        <v>D#8</v>
      </c>
      <c r="D125" s="14"/>
      <c r="E125" s="14"/>
      <c r="F125" s="14"/>
    </row>
    <row r="126" spans="1:6">
      <c r="A126" s="7">
        <v>124</v>
      </c>
      <c r="B126" s="7">
        <v>124</v>
      </c>
      <c r="C126" t="str">
        <f>VLOOKUP(B126,_Pitch!$A$2:$B$129,2,FALSE)</f>
        <v>E8</v>
      </c>
      <c r="D126" s="14"/>
      <c r="E126" s="14"/>
      <c r="F126" s="14"/>
    </row>
    <row r="127" spans="1:6">
      <c r="A127" s="7">
        <v>125</v>
      </c>
      <c r="B127" s="7">
        <v>125</v>
      </c>
      <c r="C127" t="str">
        <f>VLOOKUP(B127,_Pitch!$A$2:$B$129,2,FALSE)</f>
        <v>F8</v>
      </c>
      <c r="D127" s="14"/>
      <c r="E127" s="14"/>
      <c r="F127" s="14"/>
    </row>
    <row r="128" spans="1:6">
      <c r="A128" s="7">
        <v>126</v>
      </c>
      <c r="B128" s="7">
        <v>126</v>
      </c>
      <c r="C128" t="str">
        <f>VLOOKUP(B128,_Pitch!$A$2:$B$129,2,FALSE)</f>
        <v>F#8</v>
      </c>
      <c r="D128" s="14"/>
      <c r="E128" s="14"/>
      <c r="F128" s="14"/>
    </row>
    <row r="129" spans="1:6">
      <c r="A129" s="7">
        <v>127</v>
      </c>
      <c r="B129" s="7">
        <v>127</v>
      </c>
      <c r="C129" t="str">
        <f>VLOOKUP(B129,_Pitch!$A$2:$B$129,2,FALSE)</f>
        <v>G8</v>
      </c>
      <c r="D129" s="14"/>
      <c r="E129" s="14"/>
      <c r="F129" s="14"/>
    </row>
  </sheetData>
  <autoFilter ref="A1:G1" xr:uid="{420B7D38-C93C-468A-9936-2D11D49A38AE}"/>
  <phoneticPr fontId="1"/>
  <dataValidations count="1">
    <dataValidation type="list" allowBlank="1" showInputMessage="1" showErrorMessage="1" sqref="F2:F129" xr:uid="{53144EB7-7EF7-4ED4-8F5F-72B04D1AB4F6}">
      <formula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4C6C2278-8A10-46C4-A9E1-CA6D73F6D441}">
          <x14:formula1>
            <xm:f>_Articulation!$B$2:B$158</xm:f>
          </x14:formula1>
          <xm:sqref>E2:E129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604F11-CAFF-4B95-A009-4FC91346CE12}">
  <sheetPr codeName="Sheet18"/>
  <dimension ref="A1:G129"/>
  <sheetViews>
    <sheetView workbookViewId="0">
      <pane ySplit="1" topLeftCell="A2" activePane="bottomLeft" state="frozen"/>
      <selection activeCell="D14" sqref="D14"/>
      <selection pane="bottomLeft" activeCell="E16" sqref="E16"/>
    </sheetView>
  </sheetViews>
  <sheetFormatPr defaultRowHeight="13.5"/>
  <cols>
    <col min="1" max="1" width="4.5" style="7" bestFit="1" customWidth="1"/>
    <col min="2" max="2" width="4.5" bestFit="1" customWidth="1"/>
    <col min="3" max="3" width="5.5" bestFit="1" customWidth="1"/>
    <col min="4" max="4" width="45.625" customWidth="1"/>
    <col min="5" max="5" width="28.25" customWidth="1"/>
    <col min="6" max="6" width="10.25" customWidth="1"/>
  </cols>
  <sheetData>
    <row r="1" spans="1:7" s="6" customFormat="1" ht="141.75" customHeight="1">
      <c r="A1" s="15" t="s">
        <v>130</v>
      </c>
      <c r="B1" s="15" t="s">
        <v>1105</v>
      </c>
      <c r="C1" s="15" t="s">
        <v>1106</v>
      </c>
      <c r="D1" s="16" t="s">
        <v>131</v>
      </c>
      <c r="E1" s="23" t="s">
        <v>132</v>
      </c>
      <c r="F1" s="17" t="s">
        <v>664</v>
      </c>
      <c r="G1" s="15" t="s">
        <v>696</v>
      </c>
    </row>
    <row r="2" spans="1:7">
      <c r="A2" s="7">
        <v>0</v>
      </c>
      <c r="B2" s="7">
        <v>0</v>
      </c>
      <c r="C2" t="str">
        <f>VLOOKUP(B2,_Pitch!$A$2:$B$129,2,FALSE)</f>
        <v>C-2</v>
      </c>
      <c r="D2" s="14"/>
      <c r="E2" s="14"/>
      <c r="F2" s="14"/>
    </row>
    <row r="3" spans="1:7">
      <c r="A3" s="7">
        <v>1</v>
      </c>
      <c r="B3" s="7">
        <v>1</v>
      </c>
      <c r="C3" t="str">
        <f>VLOOKUP(B3,_Pitch!$A$2:$B$129,2,FALSE)</f>
        <v>C#-2</v>
      </c>
      <c r="D3" s="14"/>
      <c r="E3" s="14"/>
      <c r="F3" s="14"/>
    </row>
    <row r="4" spans="1:7">
      <c r="A4" s="7">
        <v>2</v>
      </c>
      <c r="B4" s="7">
        <v>2</v>
      </c>
      <c r="C4" t="str">
        <f>VLOOKUP(B4,_Pitch!$A$2:$B$129,2,FALSE)</f>
        <v>D-2</v>
      </c>
      <c r="D4" s="14"/>
      <c r="E4" s="14"/>
      <c r="F4" s="14"/>
    </row>
    <row r="5" spans="1:7">
      <c r="A5" s="7">
        <v>3</v>
      </c>
      <c r="B5" s="7">
        <v>3</v>
      </c>
      <c r="C5" t="str">
        <f>VLOOKUP(B5,_Pitch!$A$2:$B$129,2,FALSE)</f>
        <v>D#-2</v>
      </c>
      <c r="D5" s="14"/>
      <c r="E5" s="14"/>
      <c r="F5" s="14"/>
    </row>
    <row r="6" spans="1:7">
      <c r="A6" s="7">
        <v>4</v>
      </c>
      <c r="B6" s="7">
        <v>4</v>
      </c>
      <c r="C6" t="str">
        <f>VLOOKUP(B6,_Pitch!$A$2:$B$129,2,FALSE)</f>
        <v>E-2</v>
      </c>
      <c r="D6" s="14"/>
      <c r="E6" s="14"/>
      <c r="F6" s="14"/>
    </row>
    <row r="7" spans="1:7">
      <c r="A7" s="7">
        <v>5</v>
      </c>
      <c r="B7" s="7">
        <v>5</v>
      </c>
      <c r="C7" t="str">
        <f>VLOOKUP(B7,_Pitch!$A$2:$B$129,2,FALSE)</f>
        <v>F-2</v>
      </c>
      <c r="D7" s="14"/>
      <c r="E7" s="14"/>
      <c r="F7" s="14"/>
    </row>
    <row r="8" spans="1:7">
      <c r="A8" s="7">
        <v>6</v>
      </c>
      <c r="B8" s="7">
        <v>6</v>
      </c>
      <c r="C8" t="str">
        <f>VLOOKUP(B8,_Pitch!$A$2:$B$129,2,FALSE)</f>
        <v>F#-2</v>
      </c>
      <c r="D8" s="14"/>
      <c r="E8" s="14"/>
      <c r="F8" s="14"/>
    </row>
    <row r="9" spans="1:7">
      <c r="A9" s="7">
        <v>7</v>
      </c>
      <c r="B9" s="7">
        <v>7</v>
      </c>
      <c r="C9" t="str">
        <f>VLOOKUP(B9,_Pitch!$A$2:$B$129,2,FALSE)</f>
        <v>G-2</v>
      </c>
      <c r="D9" s="14"/>
      <c r="E9" s="14"/>
      <c r="F9" s="14"/>
    </row>
    <row r="10" spans="1:7">
      <c r="A10" s="7">
        <v>8</v>
      </c>
      <c r="B10" s="7">
        <v>8</v>
      </c>
      <c r="C10" t="str">
        <f>VLOOKUP(B10,_Pitch!$A$2:$B$129,2,FALSE)</f>
        <v>G#-2</v>
      </c>
      <c r="D10" s="14"/>
      <c r="E10" s="14"/>
      <c r="F10" s="14"/>
    </row>
    <row r="11" spans="1:7">
      <c r="A11" s="7">
        <v>9</v>
      </c>
      <c r="B11" s="7">
        <v>9</v>
      </c>
      <c r="C11" t="str">
        <f>VLOOKUP(B11,_Pitch!$A$2:$B$129,2,FALSE)</f>
        <v>A-2</v>
      </c>
      <c r="D11" s="14"/>
      <c r="E11" s="14"/>
      <c r="F11" s="14"/>
    </row>
    <row r="12" spans="1:7">
      <c r="A12" s="7">
        <v>10</v>
      </c>
      <c r="B12" s="7">
        <v>10</v>
      </c>
      <c r="C12" t="str">
        <f>VLOOKUP(B12,_Pitch!$A$2:$B$129,2,FALSE)</f>
        <v>A#-2</v>
      </c>
      <c r="D12" s="14"/>
      <c r="E12" s="14"/>
      <c r="F12" s="14"/>
    </row>
    <row r="13" spans="1:7">
      <c r="A13" s="7">
        <v>11</v>
      </c>
      <c r="B13" s="7">
        <v>11</v>
      </c>
      <c r="C13" t="str">
        <f>VLOOKUP(B13,_Pitch!$A$2:$B$129,2,FALSE)</f>
        <v>B-2</v>
      </c>
      <c r="D13" s="14"/>
      <c r="E13" s="14"/>
      <c r="F13" s="14"/>
    </row>
    <row r="14" spans="1:7">
      <c r="A14" s="7">
        <v>12</v>
      </c>
      <c r="B14" s="7">
        <v>12</v>
      </c>
      <c r="C14" t="str">
        <f>VLOOKUP(B14,_Pitch!$A$2:$B$129,2,FALSE)</f>
        <v>C-1</v>
      </c>
      <c r="D14" s="14"/>
      <c r="E14" s="14"/>
      <c r="F14" s="14"/>
    </row>
    <row r="15" spans="1:7">
      <c r="A15" s="7">
        <v>13</v>
      </c>
      <c r="B15" s="7">
        <v>13</v>
      </c>
      <c r="C15" t="str">
        <f>VLOOKUP(B15,_Pitch!$A$2:$B$129,2,FALSE)</f>
        <v>C#-1</v>
      </c>
      <c r="D15" s="14"/>
      <c r="E15" s="14"/>
      <c r="F15" s="14"/>
    </row>
    <row r="16" spans="1:7">
      <c r="A16" s="7">
        <v>14</v>
      </c>
      <c r="B16" s="7">
        <v>14</v>
      </c>
      <c r="C16" t="str">
        <f>VLOOKUP(B16,_Pitch!$A$2:$B$129,2,FALSE)</f>
        <v>D-1</v>
      </c>
      <c r="D16" s="14"/>
      <c r="E16" s="14"/>
      <c r="F16" s="14"/>
    </row>
    <row r="17" spans="1:6">
      <c r="A17" s="7">
        <v>15</v>
      </c>
      <c r="B17" s="7">
        <v>15</v>
      </c>
      <c r="C17" t="str">
        <f>VLOOKUP(B17,_Pitch!$A$2:$B$129,2,FALSE)</f>
        <v>D#-1</v>
      </c>
      <c r="D17" s="14"/>
      <c r="E17" s="14"/>
      <c r="F17" s="14"/>
    </row>
    <row r="18" spans="1:6">
      <c r="A18" s="7">
        <v>16</v>
      </c>
      <c r="B18" s="7">
        <v>16</v>
      </c>
      <c r="C18" t="str">
        <f>VLOOKUP(B18,_Pitch!$A$2:$B$129,2,FALSE)</f>
        <v>E-1</v>
      </c>
      <c r="D18" s="14"/>
      <c r="E18" s="14"/>
      <c r="F18" s="14"/>
    </row>
    <row r="19" spans="1:6">
      <c r="A19" s="7">
        <v>17</v>
      </c>
      <c r="B19" s="7">
        <v>17</v>
      </c>
      <c r="C19" t="str">
        <f>VLOOKUP(B19,_Pitch!$A$2:$B$129,2,FALSE)</f>
        <v>F-1</v>
      </c>
      <c r="D19" s="14"/>
      <c r="E19" s="14"/>
      <c r="F19" s="14"/>
    </row>
    <row r="20" spans="1:6">
      <c r="A20" s="7">
        <v>18</v>
      </c>
      <c r="B20" s="7">
        <v>18</v>
      </c>
      <c r="C20" t="str">
        <f>VLOOKUP(B20,_Pitch!$A$2:$B$129,2,FALSE)</f>
        <v>F#-1</v>
      </c>
      <c r="D20" s="14"/>
      <c r="E20" s="14"/>
      <c r="F20" s="14"/>
    </row>
    <row r="21" spans="1:6">
      <c r="A21" s="7">
        <v>19</v>
      </c>
      <c r="B21" s="7">
        <v>19</v>
      </c>
      <c r="C21" t="str">
        <f>VLOOKUP(B21,_Pitch!$A$2:$B$129,2,FALSE)</f>
        <v>G-1</v>
      </c>
      <c r="D21" s="14"/>
      <c r="E21" s="14"/>
      <c r="F21" s="14"/>
    </row>
    <row r="22" spans="1:6">
      <c r="A22" s="7">
        <v>20</v>
      </c>
      <c r="B22" s="7">
        <v>20</v>
      </c>
      <c r="C22" t="str">
        <f>VLOOKUP(B22,_Pitch!$A$2:$B$129,2,FALSE)</f>
        <v>G#-1</v>
      </c>
      <c r="D22" s="14"/>
      <c r="E22" s="14"/>
      <c r="F22" s="14"/>
    </row>
    <row r="23" spans="1:6">
      <c r="A23" s="7">
        <v>21</v>
      </c>
      <c r="B23" s="7">
        <v>21</v>
      </c>
      <c r="C23" t="str">
        <f>VLOOKUP(B23,_Pitch!$A$2:$B$129,2,FALSE)</f>
        <v>A-1</v>
      </c>
      <c r="D23" s="14"/>
      <c r="E23" s="14"/>
      <c r="F23" s="14"/>
    </row>
    <row r="24" spans="1:6">
      <c r="A24" s="7">
        <v>22</v>
      </c>
      <c r="B24" s="7">
        <v>22</v>
      </c>
      <c r="C24" t="str">
        <f>VLOOKUP(B24,_Pitch!$A$2:$B$129,2,FALSE)</f>
        <v>A#-1</v>
      </c>
      <c r="D24" s="14"/>
      <c r="E24" s="14"/>
      <c r="F24" s="14"/>
    </row>
    <row r="25" spans="1:6">
      <c r="A25" s="7">
        <v>23</v>
      </c>
      <c r="B25" s="7">
        <v>23</v>
      </c>
      <c r="C25" t="str">
        <f>VLOOKUP(B25,_Pitch!$A$2:$B$129,2,FALSE)</f>
        <v>B-1</v>
      </c>
      <c r="D25" s="14"/>
      <c r="E25" s="14"/>
      <c r="F25" s="14"/>
    </row>
    <row r="26" spans="1:6">
      <c r="A26" s="7">
        <v>24</v>
      </c>
      <c r="B26" s="7">
        <v>24</v>
      </c>
      <c r="C26" t="str">
        <f>VLOOKUP(B26,_Pitch!$A$2:$B$129,2,FALSE)</f>
        <v>C0</v>
      </c>
      <c r="D26" s="14"/>
      <c r="E26" s="14"/>
      <c r="F26" s="14"/>
    </row>
    <row r="27" spans="1:6">
      <c r="A27" s="7">
        <v>25</v>
      </c>
      <c r="B27" s="7">
        <v>25</v>
      </c>
      <c r="C27" t="str">
        <f>VLOOKUP(B27,_Pitch!$A$2:$B$129,2,FALSE)</f>
        <v>C#0</v>
      </c>
      <c r="D27" s="14"/>
      <c r="E27" s="14"/>
      <c r="F27" s="14"/>
    </row>
    <row r="28" spans="1:6">
      <c r="A28" s="7">
        <v>26</v>
      </c>
      <c r="B28" s="7">
        <v>26</v>
      </c>
      <c r="C28" t="str">
        <f>VLOOKUP(B28,_Pitch!$A$2:$B$129,2,FALSE)</f>
        <v>D0</v>
      </c>
      <c r="D28" s="14"/>
      <c r="E28" s="14"/>
      <c r="F28" s="14"/>
    </row>
    <row r="29" spans="1:6">
      <c r="A29" s="7">
        <v>27</v>
      </c>
      <c r="B29" s="7">
        <v>27</v>
      </c>
      <c r="C29" t="str">
        <f>VLOOKUP(B29,_Pitch!$A$2:$B$129,2,FALSE)</f>
        <v>D#0</v>
      </c>
      <c r="D29" s="14"/>
      <c r="E29" s="14"/>
      <c r="F29" s="14"/>
    </row>
    <row r="30" spans="1:6">
      <c r="A30" s="7">
        <v>28</v>
      </c>
      <c r="B30" s="7">
        <v>28</v>
      </c>
      <c r="C30" t="str">
        <f>VLOOKUP(B30,_Pitch!$A$2:$B$129,2,FALSE)</f>
        <v>E0</v>
      </c>
      <c r="D30" s="14"/>
      <c r="E30" s="14"/>
      <c r="F30" s="14"/>
    </row>
    <row r="31" spans="1:6">
      <c r="A31" s="7">
        <v>29</v>
      </c>
      <c r="B31" s="7">
        <v>29</v>
      </c>
      <c r="C31" t="str">
        <f>VLOOKUP(B31,_Pitch!$A$2:$B$129,2,FALSE)</f>
        <v>F0</v>
      </c>
      <c r="D31" s="14"/>
      <c r="E31" s="14"/>
      <c r="F31" s="14"/>
    </row>
    <row r="32" spans="1:6">
      <c r="A32" s="7">
        <v>30</v>
      </c>
      <c r="B32" s="7">
        <v>30</v>
      </c>
      <c r="C32" t="str">
        <f>VLOOKUP(B32,_Pitch!$A$2:$B$129,2,FALSE)</f>
        <v>F#0</v>
      </c>
      <c r="D32" s="14"/>
      <c r="E32" s="14"/>
      <c r="F32" s="14"/>
    </row>
    <row r="33" spans="1:6">
      <c r="A33" s="7">
        <v>31</v>
      </c>
      <c r="B33" s="7">
        <v>31</v>
      </c>
      <c r="C33" t="str">
        <f>VLOOKUP(B33,_Pitch!$A$2:$B$129,2,FALSE)</f>
        <v>G0</v>
      </c>
      <c r="D33" s="14"/>
      <c r="E33" s="14"/>
      <c r="F33" s="14"/>
    </row>
    <row r="34" spans="1:6">
      <c r="A34" s="7">
        <v>32</v>
      </c>
      <c r="B34" s="7">
        <v>32</v>
      </c>
      <c r="C34" t="str">
        <f>VLOOKUP(B34,_Pitch!$A$2:$B$129,2,FALSE)</f>
        <v>G#0</v>
      </c>
      <c r="D34" s="14"/>
      <c r="E34" s="14"/>
      <c r="F34" s="14"/>
    </row>
    <row r="35" spans="1:6">
      <c r="A35" s="7">
        <v>33</v>
      </c>
      <c r="B35" s="7">
        <v>33</v>
      </c>
      <c r="C35" t="str">
        <f>VLOOKUP(B35,_Pitch!$A$2:$B$129,2,FALSE)</f>
        <v>A0</v>
      </c>
      <c r="D35" s="14"/>
      <c r="E35" s="14"/>
      <c r="F35" s="14"/>
    </row>
    <row r="36" spans="1:6">
      <c r="A36" s="7">
        <v>34</v>
      </c>
      <c r="B36" s="7">
        <v>34</v>
      </c>
      <c r="C36" t="str">
        <f>VLOOKUP(B36,_Pitch!$A$2:$B$129,2,FALSE)</f>
        <v>A#0</v>
      </c>
      <c r="D36" s="14"/>
      <c r="E36" s="14"/>
      <c r="F36" s="14"/>
    </row>
    <row r="37" spans="1:6">
      <c r="A37" s="7">
        <v>35</v>
      </c>
      <c r="B37" s="7">
        <v>35</v>
      </c>
      <c r="C37" t="str">
        <f>VLOOKUP(B37,_Pitch!$A$2:$B$129,2,FALSE)</f>
        <v>B0</v>
      </c>
      <c r="D37" s="14" t="s">
        <v>247</v>
      </c>
      <c r="E37" s="14" t="s">
        <v>135</v>
      </c>
      <c r="F37" s="14"/>
    </row>
    <row r="38" spans="1:6">
      <c r="A38" s="7">
        <v>36</v>
      </c>
      <c r="B38" s="7">
        <v>36</v>
      </c>
      <c r="C38" t="str">
        <f>VLOOKUP(B38,_Pitch!$A$2:$B$129,2,FALSE)</f>
        <v>C1</v>
      </c>
      <c r="D38" s="14" t="s">
        <v>248</v>
      </c>
      <c r="E38" s="14" t="s">
        <v>133</v>
      </c>
      <c r="F38" s="14"/>
    </row>
    <row r="39" spans="1:6">
      <c r="A39" s="7">
        <v>37</v>
      </c>
      <c r="B39" s="7">
        <v>37</v>
      </c>
      <c r="C39" t="str">
        <f>VLOOKUP(B39,_Pitch!$A$2:$B$129,2,FALSE)</f>
        <v>C#1</v>
      </c>
      <c r="D39" s="14" t="s">
        <v>249</v>
      </c>
      <c r="E39" s="14" t="s">
        <v>145</v>
      </c>
      <c r="F39" s="14"/>
    </row>
    <row r="40" spans="1:6">
      <c r="A40" s="7">
        <v>38</v>
      </c>
      <c r="B40" s="7">
        <v>38</v>
      </c>
      <c r="C40" t="str">
        <f>VLOOKUP(B40,_Pitch!$A$2:$B$129,2,FALSE)</f>
        <v>D1</v>
      </c>
      <c r="D40" s="14" t="s">
        <v>250</v>
      </c>
      <c r="E40" s="14" t="s">
        <v>561</v>
      </c>
      <c r="F40" s="14"/>
    </row>
    <row r="41" spans="1:6">
      <c r="A41" s="7">
        <v>39</v>
      </c>
      <c r="B41" s="7">
        <v>39</v>
      </c>
      <c r="C41" t="str">
        <f>VLOOKUP(B41,_Pitch!$A$2:$B$129,2,FALSE)</f>
        <v>D#1</v>
      </c>
      <c r="D41" s="14" t="s">
        <v>251</v>
      </c>
      <c r="E41" s="14"/>
      <c r="F41" s="14"/>
    </row>
    <row r="42" spans="1:6">
      <c r="A42" s="7">
        <v>40</v>
      </c>
      <c r="B42" s="7">
        <v>40</v>
      </c>
      <c r="C42" t="str">
        <f>VLOOKUP(B42,_Pitch!$A$2:$B$129,2,FALSE)</f>
        <v>E1</v>
      </c>
      <c r="D42" s="14" t="s">
        <v>252</v>
      </c>
      <c r="E42" s="14" t="s">
        <v>1077</v>
      </c>
      <c r="F42" s="14"/>
    </row>
    <row r="43" spans="1:6">
      <c r="A43" s="7">
        <v>41</v>
      </c>
      <c r="B43" s="7">
        <v>41</v>
      </c>
      <c r="C43" t="str">
        <f>VLOOKUP(B43,_Pitch!$A$2:$B$129,2,FALSE)</f>
        <v>F1</v>
      </c>
      <c r="D43" s="14" t="s">
        <v>253</v>
      </c>
      <c r="E43" s="14" t="s">
        <v>557</v>
      </c>
      <c r="F43" s="14"/>
    </row>
    <row r="44" spans="1:6">
      <c r="A44" s="7">
        <v>42</v>
      </c>
      <c r="B44" s="7">
        <v>42</v>
      </c>
      <c r="C44" t="str">
        <f>VLOOKUP(B44,_Pitch!$A$2:$B$129,2,FALSE)</f>
        <v>F#1</v>
      </c>
      <c r="D44" s="14" t="s">
        <v>254</v>
      </c>
      <c r="E44" s="14" t="s">
        <v>149</v>
      </c>
      <c r="F44" s="14"/>
    </row>
    <row r="45" spans="1:6">
      <c r="A45" s="7">
        <v>43</v>
      </c>
      <c r="B45" s="7">
        <v>43</v>
      </c>
      <c r="C45" t="str">
        <f>VLOOKUP(B45,_Pitch!$A$2:$B$129,2,FALSE)</f>
        <v>G1</v>
      </c>
      <c r="D45" s="14" t="s">
        <v>255</v>
      </c>
      <c r="E45" s="14" t="s">
        <v>558</v>
      </c>
      <c r="F45" s="14"/>
    </row>
    <row r="46" spans="1:6">
      <c r="A46" s="7">
        <v>44</v>
      </c>
      <c r="B46" s="7">
        <v>44</v>
      </c>
      <c r="C46" t="str">
        <f>VLOOKUP(B46,_Pitch!$A$2:$B$129,2,FALSE)</f>
        <v>G#1</v>
      </c>
      <c r="D46" s="14" t="s">
        <v>256</v>
      </c>
      <c r="E46" s="14" t="s">
        <v>1068</v>
      </c>
      <c r="F46" s="14"/>
    </row>
    <row r="47" spans="1:6">
      <c r="A47" s="7">
        <v>45</v>
      </c>
      <c r="B47" s="7">
        <v>45</v>
      </c>
      <c r="C47" t="str">
        <f>VLOOKUP(B47,_Pitch!$A$2:$B$129,2,FALSE)</f>
        <v>A1</v>
      </c>
      <c r="D47" s="14" t="s">
        <v>257</v>
      </c>
      <c r="E47" s="14" t="s">
        <v>240</v>
      </c>
      <c r="F47" s="14"/>
    </row>
    <row r="48" spans="1:6">
      <c r="A48" s="7">
        <v>46</v>
      </c>
      <c r="B48" s="7">
        <v>46</v>
      </c>
      <c r="C48" t="str">
        <f>VLOOKUP(B48,_Pitch!$A$2:$B$129,2,FALSE)</f>
        <v>A#1</v>
      </c>
      <c r="D48" s="14" t="s">
        <v>258</v>
      </c>
      <c r="E48" s="14" t="s">
        <v>160</v>
      </c>
      <c r="F48" s="14"/>
    </row>
    <row r="49" spans="1:6">
      <c r="A49" s="7">
        <v>47</v>
      </c>
      <c r="B49" s="7">
        <v>47</v>
      </c>
      <c r="C49" t="str">
        <f>VLOOKUP(B49,_Pitch!$A$2:$B$129,2,FALSE)</f>
        <v>B1</v>
      </c>
      <c r="D49" s="14" t="s">
        <v>259</v>
      </c>
      <c r="E49" s="14" t="s">
        <v>239</v>
      </c>
      <c r="F49" s="14"/>
    </row>
    <row r="50" spans="1:6">
      <c r="A50" s="7">
        <v>48</v>
      </c>
      <c r="B50" s="7">
        <v>48</v>
      </c>
      <c r="C50" t="str">
        <f>VLOOKUP(B50,_Pitch!$A$2:$B$129,2,FALSE)</f>
        <v>C2</v>
      </c>
      <c r="D50" s="14" t="s">
        <v>260</v>
      </c>
      <c r="E50" s="14" t="s">
        <v>559</v>
      </c>
      <c r="F50" s="14"/>
    </row>
    <row r="51" spans="1:6">
      <c r="A51" s="7">
        <v>49</v>
      </c>
      <c r="B51" s="7">
        <v>49</v>
      </c>
      <c r="C51" t="str">
        <f>VLOOKUP(B51,_Pitch!$A$2:$B$129,2,FALSE)</f>
        <v>C#2</v>
      </c>
      <c r="D51" s="14" t="s">
        <v>938</v>
      </c>
      <c r="E51" s="14" t="s">
        <v>568</v>
      </c>
      <c r="F51" s="14"/>
    </row>
    <row r="52" spans="1:6">
      <c r="A52" s="7">
        <v>50</v>
      </c>
      <c r="B52" s="7">
        <v>50</v>
      </c>
      <c r="C52" t="str">
        <f>VLOOKUP(B52,_Pitch!$A$2:$B$129,2,FALSE)</f>
        <v>D2</v>
      </c>
      <c r="D52" s="14" t="s">
        <v>261</v>
      </c>
      <c r="E52" s="14" t="s">
        <v>560</v>
      </c>
      <c r="F52" s="14"/>
    </row>
    <row r="53" spans="1:6">
      <c r="A53" s="7">
        <v>51</v>
      </c>
      <c r="B53" s="7">
        <v>51</v>
      </c>
      <c r="C53" t="str">
        <f>VLOOKUP(B53,_Pitch!$A$2:$B$129,2,FALSE)</f>
        <v>D#2</v>
      </c>
      <c r="D53" s="14" t="s">
        <v>939</v>
      </c>
      <c r="E53" s="14" t="s">
        <v>179</v>
      </c>
      <c r="F53" s="14"/>
    </row>
    <row r="54" spans="1:6">
      <c r="A54" s="7">
        <v>52</v>
      </c>
      <c r="B54" s="7">
        <v>52</v>
      </c>
      <c r="C54" t="str">
        <f>VLOOKUP(B54,_Pitch!$A$2:$B$129,2,FALSE)</f>
        <v>E2</v>
      </c>
      <c r="D54" s="14" t="s">
        <v>262</v>
      </c>
      <c r="E54" s="14" t="s">
        <v>905</v>
      </c>
      <c r="F54" s="14"/>
    </row>
    <row r="55" spans="1:6">
      <c r="A55" s="7">
        <v>53</v>
      </c>
      <c r="B55" s="7">
        <v>53</v>
      </c>
      <c r="C55" t="str">
        <f>VLOOKUP(B55,_Pitch!$A$2:$B$129,2,FALSE)</f>
        <v>F2</v>
      </c>
      <c r="D55" s="14" t="s">
        <v>263</v>
      </c>
      <c r="E55" s="14" t="s">
        <v>180</v>
      </c>
      <c r="F55" s="14"/>
    </row>
    <row r="56" spans="1:6">
      <c r="A56" s="7">
        <v>54</v>
      </c>
      <c r="B56" s="7">
        <v>54</v>
      </c>
      <c r="C56" t="str">
        <f>VLOOKUP(B56,_Pitch!$A$2:$B$129,2,FALSE)</f>
        <v>F#2</v>
      </c>
      <c r="D56" s="14" t="s">
        <v>264</v>
      </c>
      <c r="E56" s="14"/>
      <c r="F56" s="14"/>
    </row>
    <row r="57" spans="1:6">
      <c r="A57" s="7">
        <v>55</v>
      </c>
      <c r="B57" s="7">
        <v>55</v>
      </c>
      <c r="C57" t="str">
        <f>VLOOKUP(B57,_Pitch!$A$2:$B$129,2,FALSE)</f>
        <v>G2</v>
      </c>
      <c r="D57" s="14" t="s">
        <v>265</v>
      </c>
      <c r="E57" s="14" t="s">
        <v>904</v>
      </c>
      <c r="F57" s="14"/>
    </row>
    <row r="58" spans="1:6">
      <c r="A58" s="7">
        <v>56</v>
      </c>
      <c r="B58" s="7">
        <v>56</v>
      </c>
      <c r="C58" t="str">
        <f>VLOOKUP(B58,_Pitch!$A$2:$B$129,2,FALSE)</f>
        <v>G#2</v>
      </c>
      <c r="D58" s="14" t="s">
        <v>266</v>
      </c>
      <c r="E58" s="14"/>
      <c r="F58" s="14"/>
    </row>
    <row r="59" spans="1:6">
      <c r="A59" s="7">
        <v>57</v>
      </c>
      <c r="B59" s="7">
        <v>57</v>
      </c>
      <c r="C59" t="str">
        <f>VLOOKUP(B59,_Pitch!$A$2:$B$129,2,FALSE)</f>
        <v>A2</v>
      </c>
      <c r="D59" s="14" t="s">
        <v>945</v>
      </c>
      <c r="E59" s="14" t="s">
        <v>569</v>
      </c>
      <c r="F59" s="14"/>
    </row>
    <row r="60" spans="1:6">
      <c r="A60" s="7">
        <v>58</v>
      </c>
      <c r="B60" s="7">
        <v>58</v>
      </c>
      <c r="C60" t="str">
        <f>VLOOKUP(B60,_Pitch!$A$2:$B$129,2,FALSE)</f>
        <v>A#2</v>
      </c>
      <c r="D60" s="14" t="s">
        <v>267</v>
      </c>
      <c r="E60" s="14"/>
      <c r="F60" s="14"/>
    </row>
    <row r="61" spans="1:6">
      <c r="A61" s="7">
        <v>59</v>
      </c>
      <c r="B61" s="7">
        <v>59</v>
      </c>
      <c r="C61" t="str">
        <f>VLOOKUP(B61,_Pitch!$A$2:$B$129,2,FALSE)</f>
        <v>B2</v>
      </c>
      <c r="D61" s="14" t="s">
        <v>946</v>
      </c>
      <c r="E61" s="14" t="s">
        <v>185</v>
      </c>
      <c r="F61" s="14"/>
    </row>
    <row r="62" spans="1:6">
      <c r="A62" s="7">
        <v>60</v>
      </c>
      <c r="B62" s="7">
        <v>60</v>
      </c>
      <c r="C62" t="str">
        <f>VLOOKUP(B62,_Pitch!$A$2:$B$129,2,FALSE)</f>
        <v>C3</v>
      </c>
      <c r="D62" s="14" t="s">
        <v>268</v>
      </c>
      <c r="E62" s="14"/>
      <c r="F62" s="14"/>
    </row>
    <row r="63" spans="1:6">
      <c r="A63" s="7">
        <v>61</v>
      </c>
      <c r="B63" s="7">
        <v>61</v>
      </c>
      <c r="C63" t="str">
        <f>VLOOKUP(B63,_Pitch!$A$2:$B$129,2,FALSE)</f>
        <v>C#3</v>
      </c>
      <c r="D63" s="14" t="s">
        <v>269</v>
      </c>
      <c r="E63" s="14"/>
      <c r="F63" s="14"/>
    </row>
    <row r="64" spans="1:6">
      <c r="A64" s="7">
        <v>62</v>
      </c>
      <c r="B64" s="7">
        <v>62</v>
      </c>
      <c r="C64" t="str">
        <f>VLOOKUP(B64,_Pitch!$A$2:$B$129,2,FALSE)</f>
        <v>D3</v>
      </c>
      <c r="D64" s="14" t="s">
        <v>270</v>
      </c>
      <c r="E64" s="14"/>
      <c r="F64" s="14"/>
    </row>
    <row r="65" spans="1:6">
      <c r="A65" s="7">
        <v>63</v>
      </c>
      <c r="B65" s="7">
        <v>63</v>
      </c>
      <c r="C65" t="str">
        <f>VLOOKUP(B65,_Pitch!$A$2:$B$129,2,FALSE)</f>
        <v>D#3</v>
      </c>
      <c r="D65" s="14" t="s">
        <v>271</v>
      </c>
      <c r="E65" s="14"/>
      <c r="F65" s="14"/>
    </row>
    <row r="66" spans="1:6">
      <c r="A66" s="7">
        <v>64</v>
      </c>
      <c r="B66" s="7">
        <v>64</v>
      </c>
      <c r="C66" t="str">
        <f>VLOOKUP(B66,_Pitch!$A$2:$B$129,2,FALSE)</f>
        <v>E3</v>
      </c>
      <c r="D66" s="14" t="s">
        <v>272</v>
      </c>
      <c r="E66" s="14"/>
      <c r="F66" s="14"/>
    </row>
    <row r="67" spans="1:6">
      <c r="A67" s="7">
        <v>65</v>
      </c>
      <c r="B67" s="7">
        <v>65</v>
      </c>
      <c r="C67" t="str">
        <f>VLOOKUP(B67,_Pitch!$A$2:$B$129,2,FALSE)</f>
        <v>F3</v>
      </c>
      <c r="D67" s="14" t="s">
        <v>273</v>
      </c>
      <c r="E67" s="14"/>
      <c r="F67" s="14"/>
    </row>
    <row r="68" spans="1:6">
      <c r="A68" s="7">
        <v>66</v>
      </c>
      <c r="B68" s="7">
        <v>66</v>
      </c>
      <c r="C68" t="str">
        <f>VLOOKUP(B68,_Pitch!$A$2:$B$129,2,FALSE)</f>
        <v>F#3</v>
      </c>
      <c r="D68" s="14" t="s">
        <v>274</v>
      </c>
      <c r="E68" s="14"/>
      <c r="F68" s="14"/>
    </row>
    <row r="69" spans="1:6">
      <c r="A69" s="7">
        <v>67</v>
      </c>
      <c r="B69" s="7">
        <v>67</v>
      </c>
      <c r="C69" t="str">
        <f>VLOOKUP(B69,_Pitch!$A$2:$B$129,2,FALSE)</f>
        <v>G3</v>
      </c>
      <c r="D69" s="14" t="s">
        <v>275</v>
      </c>
      <c r="E69" s="14"/>
      <c r="F69" s="14"/>
    </row>
    <row r="70" spans="1:6">
      <c r="A70" s="7">
        <v>68</v>
      </c>
      <c r="B70" s="7">
        <v>68</v>
      </c>
      <c r="C70" t="str">
        <f>VLOOKUP(B70,_Pitch!$A$2:$B$129,2,FALSE)</f>
        <v>G#3</v>
      </c>
      <c r="D70" s="14" t="s">
        <v>276</v>
      </c>
      <c r="E70" s="14"/>
      <c r="F70" s="14"/>
    </row>
    <row r="71" spans="1:6">
      <c r="A71" s="7">
        <v>69</v>
      </c>
      <c r="B71" s="7">
        <v>69</v>
      </c>
      <c r="C71" t="str">
        <f>VLOOKUP(B71,_Pitch!$A$2:$B$129,2,FALSE)</f>
        <v>A3</v>
      </c>
      <c r="D71" s="14" t="s">
        <v>277</v>
      </c>
      <c r="E71" s="14"/>
      <c r="F71" s="14"/>
    </row>
    <row r="72" spans="1:6">
      <c r="A72" s="7">
        <v>70</v>
      </c>
      <c r="B72" s="7">
        <v>70</v>
      </c>
      <c r="C72" t="str">
        <f>VLOOKUP(B72,_Pitch!$A$2:$B$129,2,FALSE)</f>
        <v>A#3</v>
      </c>
      <c r="D72" s="14" t="s">
        <v>278</v>
      </c>
      <c r="E72" s="14"/>
      <c r="F72" s="14"/>
    </row>
    <row r="73" spans="1:6">
      <c r="A73" s="7">
        <v>71</v>
      </c>
      <c r="B73" s="7">
        <v>71</v>
      </c>
      <c r="C73" t="str">
        <f>VLOOKUP(B73,_Pitch!$A$2:$B$129,2,FALSE)</f>
        <v>B3</v>
      </c>
      <c r="D73" s="14" t="s">
        <v>279</v>
      </c>
      <c r="E73" s="14"/>
      <c r="F73" s="14"/>
    </row>
    <row r="74" spans="1:6">
      <c r="A74" s="7">
        <v>72</v>
      </c>
      <c r="B74" s="7">
        <v>72</v>
      </c>
      <c r="C74" t="str">
        <f>VLOOKUP(B74,_Pitch!$A$2:$B$129,2,FALSE)</f>
        <v>C4</v>
      </c>
      <c r="D74" s="14" t="s">
        <v>280</v>
      </c>
      <c r="E74" s="14"/>
      <c r="F74" s="14"/>
    </row>
    <row r="75" spans="1:6">
      <c r="A75" s="7">
        <v>73</v>
      </c>
      <c r="B75" s="7">
        <v>73</v>
      </c>
      <c r="C75" t="str">
        <f>VLOOKUP(B75,_Pitch!$A$2:$B$129,2,FALSE)</f>
        <v>C#4</v>
      </c>
      <c r="D75" s="14" t="s">
        <v>281</v>
      </c>
      <c r="E75" s="14"/>
      <c r="F75" s="14"/>
    </row>
    <row r="76" spans="1:6">
      <c r="A76" s="7">
        <v>74</v>
      </c>
      <c r="B76" s="7">
        <v>74</v>
      </c>
      <c r="C76" t="str">
        <f>VLOOKUP(B76,_Pitch!$A$2:$B$129,2,FALSE)</f>
        <v>D4</v>
      </c>
      <c r="D76" s="14" t="s">
        <v>282</v>
      </c>
      <c r="E76" s="14"/>
      <c r="F76" s="14"/>
    </row>
    <row r="77" spans="1:6">
      <c r="A77" s="7">
        <v>75</v>
      </c>
      <c r="B77" s="7">
        <v>75</v>
      </c>
      <c r="C77" t="str">
        <f>VLOOKUP(B77,_Pitch!$A$2:$B$129,2,FALSE)</f>
        <v>D#4</v>
      </c>
      <c r="D77" s="14" t="s">
        <v>283</v>
      </c>
      <c r="E77" s="14"/>
      <c r="F77" s="14"/>
    </row>
    <row r="78" spans="1:6">
      <c r="A78" s="7">
        <v>76</v>
      </c>
      <c r="B78" s="7">
        <v>76</v>
      </c>
      <c r="C78" t="str">
        <f>VLOOKUP(B78,_Pitch!$A$2:$B$129,2,FALSE)</f>
        <v>E4</v>
      </c>
      <c r="D78" s="14" t="s">
        <v>284</v>
      </c>
      <c r="E78" s="14"/>
      <c r="F78" s="14"/>
    </row>
    <row r="79" spans="1:6">
      <c r="A79" s="7">
        <v>77</v>
      </c>
      <c r="B79" s="7">
        <v>77</v>
      </c>
      <c r="C79" t="str">
        <f>VLOOKUP(B79,_Pitch!$A$2:$B$129,2,FALSE)</f>
        <v>F4</v>
      </c>
      <c r="D79" s="14" t="s">
        <v>285</v>
      </c>
      <c r="E79" s="14"/>
      <c r="F79" s="14"/>
    </row>
    <row r="80" spans="1:6">
      <c r="A80" s="7">
        <v>78</v>
      </c>
      <c r="B80" s="7">
        <v>78</v>
      </c>
      <c r="C80" t="str">
        <f>VLOOKUP(B80,_Pitch!$A$2:$B$129,2,FALSE)</f>
        <v>F#4</v>
      </c>
      <c r="D80" s="14" t="s">
        <v>286</v>
      </c>
      <c r="E80" s="14"/>
      <c r="F80" s="14"/>
    </row>
    <row r="81" spans="1:6">
      <c r="A81" s="7">
        <v>79</v>
      </c>
      <c r="B81" s="7">
        <v>79</v>
      </c>
      <c r="C81" t="str">
        <f>VLOOKUP(B81,_Pitch!$A$2:$B$129,2,FALSE)</f>
        <v>G4</v>
      </c>
      <c r="D81" s="14" t="s">
        <v>287</v>
      </c>
      <c r="E81" s="14"/>
      <c r="F81" s="14"/>
    </row>
    <row r="82" spans="1:6">
      <c r="A82" s="7">
        <v>80</v>
      </c>
      <c r="B82" s="7">
        <v>80</v>
      </c>
      <c r="C82" t="str">
        <f>VLOOKUP(B82,_Pitch!$A$2:$B$129,2,FALSE)</f>
        <v>G#4</v>
      </c>
      <c r="D82" s="14" t="s">
        <v>288</v>
      </c>
      <c r="E82" s="14"/>
      <c r="F82" s="14"/>
    </row>
    <row r="83" spans="1:6">
      <c r="A83" s="7">
        <v>81</v>
      </c>
      <c r="B83" s="7">
        <v>81</v>
      </c>
      <c r="C83" t="str">
        <f>VLOOKUP(B83,_Pitch!$A$2:$B$129,2,FALSE)</f>
        <v>A4</v>
      </c>
      <c r="D83" s="14" t="s">
        <v>289</v>
      </c>
      <c r="E83" s="14"/>
      <c r="F83" s="14"/>
    </row>
    <row r="84" spans="1:6">
      <c r="A84" s="7">
        <v>82</v>
      </c>
      <c r="B84" s="7">
        <v>82</v>
      </c>
      <c r="C84" t="str">
        <f>VLOOKUP(B84,_Pitch!$A$2:$B$129,2,FALSE)</f>
        <v>A#4</v>
      </c>
      <c r="D84" s="14"/>
      <c r="E84" s="14"/>
      <c r="F84" s="14"/>
    </row>
    <row r="85" spans="1:6">
      <c r="A85" s="7">
        <v>83</v>
      </c>
      <c r="B85" s="7">
        <v>83</v>
      </c>
      <c r="C85" t="str">
        <f>VLOOKUP(B85,_Pitch!$A$2:$B$129,2,FALSE)</f>
        <v>B4</v>
      </c>
      <c r="D85" s="14"/>
      <c r="E85" s="14"/>
      <c r="F85" s="14"/>
    </row>
    <row r="86" spans="1:6">
      <c r="A86" s="7">
        <v>84</v>
      </c>
      <c r="B86" s="7">
        <v>84</v>
      </c>
      <c r="C86" t="str">
        <f>VLOOKUP(B86,_Pitch!$A$2:$B$129,2,FALSE)</f>
        <v>C5</v>
      </c>
      <c r="D86" s="14"/>
      <c r="E86" s="14"/>
      <c r="F86" s="14"/>
    </row>
    <row r="87" spans="1:6">
      <c r="A87" s="7">
        <v>85</v>
      </c>
      <c r="B87" s="7">
        <v>85</v>
      </c>
      <c r="C87" t="str">
        <f>VLOOKUP(B87,_Pitch!$A$2:$B$129,2,FALSE)</f>
        <v>C#5</v>
      </c>
      <c r="D87" s="14"/>
      <c r="E87" s="14"/>
      <c r="F87" s="14"/>
    </row>
    <row r="88" spans="1:6">
      <c r="A88" s="7">
        <v>86</v>
      </c>
      <c r="B88" s="7">
        <v>86</v>
      </c>
      <c r="C88" t="str">
        <f>VLOOKUP(B88,_Pitch!$A$2:$B$129,2,FALSE)</f>
        <v>D5</v>
      </c>
      <c r="D88" s="14"/>
      <c r="E88" s="14"/>
      <c r="F88" s="14"/>
    </row>
    <row r="89" spans="1:6">
      <c r="A89" s="7">
        <v>87</v>
      </c>
      <c r="B89" s="7">
        <v>87</v>
      </c>
      <c r="C89" t="str">
        <f>VLOOKUP(B89,_Pitch!$A$2:$B$129,2,FALSE)</f>
        <v>D#5</v>
      </c>
      <c r="D89" s="14"/>
      <c r="E89" s="14"/>
      <c r="F89" s="14"/>
    </row>
    <row r="90" spans="1:6">
      <c r="A90" s="7">
        <v>88</v>
      </c>
      <c r="B90" s="7">
        <v>88</v>
      </c>
      <c r="C90" t="str">
        <f>VLOOKUP(B90,_Pitch!$A$2:$B$129,2,FALSE)</f>
        <v>E5</v>
      </c>
      <c r="D90" s="14"/>
      <c r="E90" s="14"/>
      <c r="F90" s="14"/>
    </row>
    <row r="91" spans="1:6">
      <c r="A91" s="7">
        <v>89</v>
      </c>
      <c r="B91" s="7">
        <v>89</v>
      </c>
      <c r="C91" t="str">
        <f>VLOOKUP(B91,_Pitch!$A$2:$B$129,2,FALSE)</f>
        <v>F5</v>
      </c>
      <c r="D91" s="14"/>
      <c r="E91" s="14"/>
      <c r="F91" s="14"/>
    </row>
    <row r="92" spans="1:6">
      <c r="A92" s="7">
        <v>90</v>
      </c>
      <c r="B92" s="7">
        <v>90</v>
      </c>
      <c r="C92" t="str">
        <f>VLOOKUP(B92,_Pitch!$A$2:$B$129,2,FALSE)</f>
        <v>F#5</v>
      </c>
      <c r="D92" s="14"/>
      <c r="E92" s="14"/>
      <c r="F92" s="14"/>
    </row>
    <row r="93" spans="1:6">
      <c r="A93" s="7">
        <v>91</v>
      </c>
      <c r="B93" s="7">
        <v>91</v>
      </c>
      <c r="C93" t="str">
        <f>VLOOKUP(B93,_Pitch!$A$2:$B$129,2,FALSE)</f>
        <v>G5</v>
      </c>
      <c r="D93" s="14"/>
      <c r="E93" s="14"/>
      <c r="F93" s="14"/>
    </row>
    <row r="94" spans="1:6">
      <c r="A94" s="7">
        <v>92</v>
      </c>
      <c r="B94" s="7">
        <v>92</v>
      </c>
      <c r="C94" t="str">
        <f>VLOOKUP(B94,_Pitch!$A$2:$B$129,2,FALSE)</f>
        <v>G#5</v>
      </c>
      <c r="D94" s="14"/>
      <c r="E94" s="14"/>
      <c r="F94" s="14"/>
    </row>
    <row r="95" spans="1:6">
      <c r="A95" s="7">
        <v>93</v>
      </c>
      <c r="B95" s="7">
        <v>93</v>
      </c>
      <c r="C95" t="str">
        <f>VLOOKUP(B95,_Pitch!$A$2:$B$129,2,FALSE)</f>
        <v>A5</v>
      </c>
      <c r="D95" s="14"/>
      <c r="E95" s="14"/>
      <c r="F95" s="14"/>
    </row>
    <row r="96" spans="1:6">
      <c r="A96" s="7">
        <v>94</v>
      </c>
      <c r="B96" s="7">
        <v>94</v>
      </c>
      <c r="C96" t="str">
        <f>VLOOKUP(B96,_Pitch!$A$2:$B$129,2,FALSE)</f>
        <v>A#5</v>
      </c>
      <c r="D96" s="14"/>
      <c r="E96" s="14"/>
      <c r="F96" s="14"/>
    </row>
    <row r="97" spans="1:6">
      <c r="A97" s="7">
        <v>95</v>
      </c>
      <c r="B97" s="7">
        <v>95</v>
      </c>
      <c r="C97" t="str">
        <f>VLOOKUP(B97,_Pitch!$A$2:$B$129,2,FALSE)</f>
        <v>B5</v>
      </c>
      <c r="D97" s="14"/>
      <c r="E97" s="14"/>
      <c r="F97" s="14"/>
    </row>
    <row r="98" spans="1:6">
      <c r="A98" s="7">
        <v>96</v>
      </c>
      <c r="B98" s="7">
        <v>96</v>
      </c>
      <c r="C98" t="str">
        <f>VLOOKUP(B98,_Pitch!$A$2:$B$129,2,FALSE)</f>
        <v>C6</v>
      </c>
      <c r="D98" s="14"/>
      <c r="E98" s="14"/>
      <c r="F98" s="14"/>
    </row>
    <row r="99" spans="1:6">
      <c r="A99" s="7">
        <v>97</v>
      </c>
      <c r="B99" s="7">
        <v>97</v>
      </c>
      <c r="C99" t="str">
        <f>VLOOKUP(B99,_Pitch!$A$2:$B$129,2,FALSE)</f>
        <v>C#6</v>
      </c>
      <c r="D99" s="14"/>
      <c r="E99" s="14"/>
      <c r="F99" s="14"/>
    </row>
    <row r="100" spans="1:6">
      <c r="A100" s="7">
        <v>98</v>
      </c>
      <c r="B100" s="7">
        <v>98</v>
      </c>
      <c r="C100" t="str">
        <f>VLOOKUP(B100,_Pitch!$A$2:$B$129,2,FALSE)</f>
        <v>D6</v>
      </c>
      <c r="D100" s="14"/>
      <c r="E100" s="14"/>
      <c r="F100" s="14"/>
    </row>
    <row r="101" spans="1:6">
      <c r="A101" s="7">
        <v>99</v>
      </c>
      <c r="B101" s="7">
        <v>99</v>
      </c>
      <c r="C101" t="str">
        <f>VLOOKUP(B101,_Pitch!$A$2:$B$129,2,FALSE)</f>
        <v>D#6</v>
      </c>
      <c r="D101" s="14"/>
      <c r="E101" s="14"/>
      <c r="F101" s="14"/>
    </row>
    <row r="102" spans="1:6">
      <c r="A102" s="7">
        <v>100</v>
      </c>
      <c r="B102" s="7">
        <v>100</v>
      </c>
      <c r="C102" t="str">
        <f>VLOOKUP(B102,_Pitch!$A$2:$B$129,2,FALSE)</f>
        <v>E6</v>
      </c>
      <c r="D102" s="14"/>
      <c r="E102" s="14"/>
      <c r="F102" s="14"/>
    </row>
    <row r="103" spans="1:6">
      <c r="A103" s="7">
        <v>101</v>
      </c>
      <c r="B103" s="7">
        <v>101</v>
      </c>
      <c r="C103" t="str">
        <f>VLOOKUP(B103,_Pitch!$A$2:$B$129,2,FALSE)</f>
        <v>F6</v>
      </c>
      <c r="D103" s="14"/>
      <c r="E103" s="14"/>
      <c r="F103" s="14"/>
    </row>
    <row r="104" spans="1:6">
      <c r="A104" s="7">
        <v>102</v>
      </c>
      <c r="B104" s="7">
        <v>102</v>
      </c>
      <c r="C104" t="str">
        <f>VLOOKUP(B104,_Pitch!$A$2:$B$129,2,FALSE)</f>
        <v>F#6</v>
      </c>
      <c r="D104" s="14"/>
      <c r="E104" s="14"/>
      <c r="F104" s="14"/>
    </row>
    <row r="105" spans="1:6">
      <c r="A105" s="7">
        <v>103</v>
      </c>
      <c r="B105" s="7">
        <v>103</v>
      </c>
      <c r="C105" t="str">
        <f>VLOOKUP(B105,_Pitch!$A$2:$B$129,2,FALSE)</f>
        <v>G6</v>
      </c>
      <c r="D105" s="14"/>
      <c r="E105" s="14"/>
      <c r="F105" s="14"/>
    </row>
    <row r="106" spans="1:6">
      <c r="A106" s="7">
        <v>104</v>
      </c>
      <c r="B106" s="7">
        <v>104</v>
      </c>
      <c r="C106" t="str">
        <f>VLOOKUP(B106,_Pitch!$A$2:$B$129,2,FALSE)</f>
        <v>G#6</v>
      </c>
      <c r="D106" s="14"/>
      <c r="E106" s="14"/>
      <c r="F106" s="14"/>
    </row>
    <row r="107" spans="1:6">
      <c r="A107" s="7">
        <v>105</v>
      </c>
      <c r="B107" s="7">
        <v>105</v>
      </c>
      <c r="C107" t="str">
        <f>VLOOKUP(B107,_Pitch!$A$2:$B$129,2,FALSE)</f>
        <v>A6</v>
      </c>
      <c r="D107" s="14"/>
      <c r="E107" s="14"/>
      <c r="F107" s="14"/>
    </row>
    <row r="108" spans="1:6">
      <c r="A108" s="7">
        <v>106</v>
      </c>
      <c r="B108" s="7">
        <v>106</v>
      </c>
      <c r="C108" t="str">
        <f>VLOOKUP(B108,_Pitch!$A$2:$B$129,2,FALSE)</f>
        <v>A#6</v>
      </c>
      <c r="D108" s="14"/>
      <c r="E108" s="14"/>
      <c r="F108" s="14"/>
    </row>
    <row r="109" spans="1:6">
      <c r="A109" s="7">
        <v>107</v>
      </c>
      <c r="B109" s="7">
        <v>107</v>
      </c>
      <c r="C109" t="str">
        <f>VLOOKUP(B109,_Pitch!$A$2:$B$129,2,FALSE)</f>
        <v>B6</v>
      </c>
      <c r="D109" s="14"/>
      <c r="E109" s="14"/>
      <c r="F109" s="14"/>
    </row>
    <row r="110" spans="1:6">
      <c r="A110" s="7">
        <v>108</v>
      </c>
      <c r="B110" s="7">
        <v>108</v>
      </c>
      <c r="C110" t="str">
        <f>VLOOKUP(B110,_Pitch!$A$2:$B$129,2,FALSE)</f>
        <v>C7</v>
      </c>
      <c r="D110" s="14"/>
      <c r="E110" s="14"/>
      <c r="F110" s="14"/>
    </row>
    <row r="111" spans="1:6">
      <c r="A111" s="7">
        <v>109</v>
      </c>
      <c r="B111" s="7">
        <v>109</v>
      </c>
      <c r="C111" t="str">
        <f>VLOOKUP(B111,_Pitch!$A$2:$B$129,2,FALSE)</f>
        <v>C#7</v>
      </c>
      <c r="D111" s="14"/>
      <c r="E111" s="14"/>
      <c r="F111" s="14"/>
    </row>
    <row r="112" spans="1:6">
      <c r="A112" s="7">
        <v>110</v>
      </c>
      <c r="B112" s="7">
        <v>110</v>
      </c>
      <c r="C112" t="str">
        <f>VLOOKUP(B112,_Pitch!$A$2:$B$129,2,FALSE)</f>
        <v>D7</v>
      </c>
      <c r="D112" s="14"/>
      <c r="E112" s="14"/>
      <c r="F112" s="14"/>
    </row>
    <row r="113" spans="1:6">
      <c r="A113" s="7">
        <v>111</v>
      </c>
      <c r="B113" s="7">
        <v>111</v>
      </c>
      <c r="C113" t="str">
        <f>VLOOKUP(B113,_Pitch!$A$2:$B$129,2,FALSE)</f>
        <v>D#7</v>
      </c>
      <c r="D113" s="14"/>
      <c r="E113" s="14"/>
      <c r="F113" s="14"/>
    </row>
    <row r="114" spans="1:6">
      <c r="A114" s="7">
        <v>112</v>
      </c>
      <c r="B114" s="7">
        <v>112</v>
      </c>
      <c r="C114" t="str">
        <f>VLOOKUP(B114,_Pitch!$A$2:$B$129,2,FALSE)</f>
        <v>E7</v>
      </c>
      <c r="D114" s="14"/>
      <c r="E114" s="14"/>
      <c r="F114" s="14"/>
    </row>
    <row r="115" spans="1:6">
      <c r="A115" s="7">
        <v>113</v>
      </c>
      <c r="B115" s="7">
        <v>113</v>
      </c>
      <c r="C115" t="str">
        <f>VLOOKUP(B115,_Pitch!$A$2:$B$129,2,FALSE)</f>
        <v>F7</v>
      </c>
      <c r="D115" s="14"/>
      <c r="E115" s="14"/>
      <c r="F115" s="14"/>
    </row>
    <row r="116" spans="1:6">
      <c r="A116" s="7">
        <v>114</v>
      </c>
      <c r="B116" s="7">
        <v>114</v>
      </c>
      <c r="C116" t="str">
        <f>VLOOKUP(B116,_Pitch!$A$2:$B$129,2,FALSE)</f>
        <v>F#7</v>
      </c>
      <c r="D116" s="14"/>
      <c r="E116" s="14"/>
      <c r="F116" s="14"/>
    </row>
    <row r="117" spans="1:6">
      <c r="A117" s="7">
        <v>115</v>
      </c>
      <c r="B117" s="7">
        <v>115</v>
      </c>
      <c r="C117" t="str">
        <f>VLOOKUP(B117,_Pitch!$A$2:$B$129,2,FALSE)</f>
        <v>G7</v>
      </c>
      <c r="D117" s="14"/>
      <c r="E117" s="14"/>
      <c r="F117" s="14"/>
    </row>
    <row r="118" spans="1:6">
      <c r="A118" s="7">
        <v>116</v>
      </c>
      <c r="B118" s="7">
        <v>116</v>
      </c>
      <c r="C118" t="str">
        <f>VLOOKUP(B118,_Pitch!$A$2:$B$129,2,FALSE)</f>
        <v>G#7</v>
      </c>
      <c r="D118" s="14"/>
      <c r="E118" s="14"/>
      <c r="F118" s="14"/>
    </row>
    <row r="119" spans="1:6">
      <c r="A119" s="7">
        <v>117</v>
      </c>
      <c r="B119" s="7">
        <v>117</v>
      </c>
      <c r="C119" t="str">
        <f>VLOOKUP(B119,_Pitch!$A$2:$B$129,2,FALSE)</f>
        <v>A7</v>
      </c>
      <c r="D119" s="14"/>
      <c r="E119" s="14"/>
      <c r="F119" s="14"/>
    </row>
    <row r="120" spans="1:6">
      <c r="A120" s="7">
        <v>118</v>
      </c>
      <c r="B120" s="7">
        <v>118</v>
      </c>
      <c r="C120" t="str">
        <f>VLOOKUP(B120,_Pitch!$A$2:$B$129,2,FALSE)</f>
        <v>A#7</v>
      </c>
      <c r="D120" s="14"/>
      <c r="E120" s="14"/>
      <c r="F120" s="14"/>
    </row>
    <row r="121" spans="1:6">
      <c r="A121" s="7">
        <v>119</v>
      </c>
      <c r="B121" s="7">
        <v>119</v>
      </c>
      <c r="C121" t="str">
        <f>VLOOKUP(B121,_Pitch!$A$2:$B$129,2,FALSE)</f>
        <v>B7</v>
      </c>
      <c r="D121" s="14"/>
      <c r="E121" s="14"/>
      <c r="F121" s="14"/>
    </row>
    <row r="122" spans="1:6">
      <c r="A122" s="7">
        <v>120</v>
      </c>
      <c r="B122" s="7">
        <v>120</v>
      </c>
      <c r="C122" t="str">
        <f>VLOOKUP(B122,_Pitch!$A$2:$B$129,2,FALSE)</f>
        <v>C8</v>
      </c>
      <c r="D122" s="14"/>
      <c r="E122" s="14"/>
      <c r="F122" s="14"/>
    </row>
    <row r="123" spans="1:6">
      <c r="A123" s="7">
        <v>121</v>
      </c>
      <c r="B123" s="7">
        <v>121</v>
      </c>
      <c r="C123" t="str">
        <f>VLOOKUP(B123,_Pitch!$A$2:$B$129,2,FALSE)</f>
        <v>C#8</v>
      </c>
      <c r="D123" s="14"/>
      <c r="E123" s="14"/>
      <c r="F123" s="14"/>
    </row>
    <row r="124" spans="1:6">
      <c r="A124" s="7">
        <v>122</v>
      </c>
      <c r="B124" s="7">
        <v>122</v>
      </c>
      <c r="C124" t="str">
        <f>VLOOKUP(B124,_Pitch!$A$2:$B$129,2,FALSE)</f>
        <v>D8</v>
      </c>
      <c r="D124" s="14"/>
      <c r="E124" s="14"/>
      <c r="F124" s="14"/>
    </row>
    <row r="125" spans="1:6">
      <c r="A125" s="7">
        <v>123</v>
      </c>
      <c r="B125" s="7">
        <v>123</v>
      </c>
      <c r="C125" t="str">
        <f>VLOOKUP(B125,_Pitch!$A$2:$B$129,2,FALSE)</f>
        <v>D#8</v>
      </c>
      <c r="D125" s="14"/>
      <c r="E125" s="14"/>
      <c r="F125" s="14"/>
    </row>
    <row r="126" spans="1:6">
      <c r="A126" s="7">
        <v>124</v>
      </c>
      <c r="B126" s="7">
        <v>124</v>
      </c>
      <c r="C126" t="str">
        <f>VLOOKUP(B126,_Pitch!$A$2:$B$129,2,FALSE)</f>
        <v>E8</v>
      </c>
      <c r="D126" s="14"/>
      <c r="E126" s="14"/>
      <c r="F126" s="14"/>
    </row>
    <row r="127" spans="1:6">
      <c r="A127" s="7">
        <v>125</v>
      </c>
      <c r="B127" s="7">
        <v>125</v>
      </c>
      <c r="C127" t="str">
        <f>VLOOKUP(B127,_Pitch!$A$2:$B$129,2,FALSE)</f>
        <v>F8</v>
      </c>
      <c r="D127" s="14"/>
      <c r="E127" s="14"/>
      <c r="F127" s="14"/>
    </row>
    <row r="128" spans="1:6">
      <c r="A128" s="7">
        <v>126</v>
      </c>
      <c r="B128" s="7">
        <v>126</v>
      </c>
      <c r="C128" t="str">
        <f>VLOOKUP(B128,_Pitch!$A$2:$B$129,2,FALSE)</f>
        <v>F#8</v>
      </c>
      <c r="D128" s="14"/>
      <c r="E128" s="14"/>
      <c r="F128" s="14"/>
    </row>
    <row r="129" spans="1:6">
      <c r="A129" s="7">
        <v>127</v>
      </c>
      <c r="B129" s="7">
        <v>127</v>
      </c>
      <c r="C129" t="str">
        <f>VLOOKUP(B129,_Pitch!$A$2:$B$129,2,FALSE)</f>
        <v>G8</v>
      </c>
      <c r="D129" s="14"/>
      <c r="E129" s="14"/>
      <c r="F129" s="14"/>
    </row>
  </sheetData>
  <autoFilter ref="A1:G129" xr:uid="{CF604F11-CAFF-4B95-A009-4FC91346CE12}"/>
  <phoneticPr fontId="1"/>
  <dataValidations count="1">
    <dataValidation type="list" allowBlank="1" showInputMessage="1" showErrorMessage="1" sqref="F2:F129" xr:uid="{6A3A3C2B-2688-484B-9A4B-298EFA840B9C}">
      <formula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7554E03-678F-4150-A686-DF5C139FF2A1}">
          <x14:formula1>
            <xm:f>_Articulation!$B$2:B$158</xm:f>
          </x14:formula1>
          <xm:sqref>E2:E129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76830-B6E2-4E43-B085-CD873FC7BC82}">
  <sheetPr codeName="Sheet4"/>
  <dimension ref="A1:G129"/>
  <sheetViews>
    <sheetView workbookViewId="0">
      <pane ySplit="1" topLeftCell="A42" activePane="bottomLeft" state="frozen"/>
      <selection activeCell="D14" sqref="D14"/>
      <selection pane="bottomLeft" activeCell="E54" sqref="E54"/>
    </sheetView>
  </sheetViews>
  <sheetFormatPr defaultRowHeight="13.5"/>
  <cols>
    <col min="1" max="1" width="4.5" style="7" bestFit="1" customWidth="1"/>
    <col min="2" max="2" width="4.5" bestFit="1" customWidth="1"/>
    <col min="3" max="3" width="5.5" bestFit="1" customWidth="1"/>
    <col min="4" max="4" width="45.625" customWidth="1"/>
    <col min="5" max="5" width="28.25" customWidth="1"/>
    <col min="6" max="6" width="10.25" customWidth="1"/>
  </cols>
  <sheetData>
    <row r="1" spans="1:7" s="6" customFormat="1" ht="141.75" customHeight="1">
      <c r="A1" s="15" t="s">
        <v>130</v>
      </c>
      <c r="B1" s="15" t="s">
        <v>1105</v>
      </c>
      <c r="C1" s="15" t="s">
        <v>1106</v>
      </c>
      <c r="D1" s="16" t="s">
        <v>131</v>
      </c>
      <c r="E1" s="23" t="s">
        <v>132</v>
      </c>
      <c r="F1" s="17" t="s">
        <v>664</v>
      </c>
      <c r="G1" s="28" t="s">
        <v>696</v>
      </c>
    </row>
    <row r="2" spans="1:7">
      <c r="A2" s="7">
        <v>0</v>
      </c>
      <c r="B2" s="7">
        <v>0</v>
      </c>
      <c r="C2" t="str">
        <f>VLOOKUP(B2,_Pitch!$A$2:$B$129,2,FALSE)</f>
        <v>C-2</v>
      </c>
      <c r="D2" s="14"/>
      <c r="E2" s="14"/>
      <c r="F2" s="14"/>
    </row>
    <row r="3" spans="1:7">
      <c r="A3" s="7">
        <v>1</v>
      </c>
      <c r="B3" s="7">
        <v>1</v>
      </c>
      <c r="C3" t="str">
        <f>VLOOKUP(B3,_Pitch!$A$2:$B$129,2,FALSE)</f>
        <v>C#-2</v>
      </c>
      <c r="D3" s="14"/>
      <c r="E3" s="14"/>
      <c r="F3" s="14"/>
    </row>
    <row r="4" spans="1:7">
      <c r="A4" s="7">
        <v>2</v>
      </c>
      <c r="B4" s="7">
        <v>2</v>
      </c>
      <c r="C4" t="str">
        <f>VLOOKUP(B4,_Pitch!$A$2:$B$129,2,FALSE)</f>
        <v>D-2</v>
      </c>
      <c r="D4" s="14"/>
      <c r="E4" s="14"/>
      <c r="F4" s="14"/>
    </row>
    <row r="5" spans="1:7">
      <c r="A5" s="7">
        <v>3</v>
      </c>
      <c r="B5" s="7">
        <v>3</v>
      </c>
      <c r="C5" t="str">
        <f>VLOOKUP(B5,_Pitch!$A$2:$B$129,2,FALSE)</f>
        <v>D#-2</v>
      </c>
      <c r="D5" s="14" t="s">
        <v>291</v>
      </c>
      <c r="E5" s="14"/>
      <c r="F5" s="14"/>
    </row>
    <row r="6" spans="1:7">
      <c r="A6" s="7">
        <v>4</v>
      </c>
      <c r="B6" s="7">
        <v>4</v>
      </c>
      <c r="C6" t="str">
        <f>VLOOKUP(B6,_Pitch!$A$2:$B$129,2,FALSE)</f>
        <v>E-2</v>
      </c>
      <c r="D6" s="14" t="s">
        <v>292</v>
      </c>
      <c r="E6" s="14"/>
      <c r="F6" s="14"/>
    </row>
    <row r="7" spans="1:7">
      <c r="A7" s="7">
        <v>5</v>
      </c>
      <c r="B7" s="7">
        <v>5</v>
      </c>
      <c r="C7" t="str">
        <f>VLOOKUP(B7,_Pitch!$A$2:$B$129,2,FALSE)</f>
        <v>F-2</v>
      </c>
      <c r="D7" s="14" t="s">
        <v>293</v>
      </c>
      <c r="E7" s="14"/>
      <c r="F7" s="14"/>
    </row>
    <row r="8" spans="1:7">
      <c r="A8" s="7">
        <v>6</v>
      </c>
      <c r="B8" s="7">
        <v>6</v>
      </c>
      <c r="C8" t="str">
        <f>VLOOKUP(B8,_Pitch!$A$2:$B$129,2,FALSE)</f>
        <v>F#-2</v>
      </c>
      <c r="D8" s="14" t="s">
        <v>294</v>
      </c>
      <c r="E8" s="14"/>
      <c r="F8" s="14"/>
    </row>
    <row r="9" spans="1:7">
      <c r="A9" s="7">
        <v>7</v>
      </c>
      <c r="B9" s="7">
        <v>7</v>
      </c>
      <c r="C9" t="str">
        <f>VLOOKUP(B9,_Pitch!$A$2:$B$129,2,FALSE)</f>
        <v>G-2</v>
      </c>
      <c r="D9" s="14" t="s">
        <v>295</v>
      </c>
      <c r="E9" s="14"/>
      <c r="F9" s="14"/>
    </row>
    <row r="10" spans="1:7">
      <c r="A10" s="7">
        <v>8</v>
      </c>
      <c r="B10" s="7">
        <v>8</v>
      </c>
      <c r="C10" t="str">
        <f>VLOOKUP(B10,_Pitch!$A$2:$B$129,2,FALSE)</f>
        <v>G#-2</v>
      </c>
      <c r="D10" s="14" t="s">
        <v>296</v>
      </c>
      <c r="E10" s="14"/>
      <c r="F10" s="14"/>
    </row>
    <row r="11" spans="1:7">
      <c r="A11" s="7">
        <v>9</v>
      </c>
      <c r="B11" s="7">
        <v>9</v>
      </c>
      <c r="C11" t="str">
        <f>VLOOKUP(B11,_Pitch!$A$2:$B$129,2,FALSE)</f>
        <v>A-2</v>
      </c>
      <c r="D11" s="14" t="s">
        <v>297</v>
      </c>
      <c r="E11" s="14"/>
      <c r="F11" s="14"/>
    </row>
    <row r="12" spans="1:7">
      <c r="A12" s="7">
        <v>10</v>
      </c>
      <c r="B12" s="7">
        <v>10</v>
      </c>
      <c r="C12" t="str">
        <f>VLOOKUP(B12,_Pitch!$A$2:$B$129,2,FALSE)</f>
        <v>A#-2</v>
      </c>
      <c r="D12" s="14"/>
      <c r="E12" s="14"/>
      <c r="F12" s="14"/>
    </row>
    <row r="13" spans="1:7">
      <c r="A13" s="7">
        <v>11</v>
      </c>
      <c r="B13" s="7">
        <v>11</v>
      </c>
      <c r="C13" t="str">
        <f>VLOOKUP(B13,_Pitch!$A$2:$B$129,2,FALSE)</f>
        <v>B-2</v>
      </c>
      <c r="D13" s="14"/>
      <c r="E13" s="14"/>
      <c r="F13" s="14"/>
    </row>
    <row r="14" spans="1:7">
      <c r="A14" s="7">
        <v>12</v>
      </c>
      <c r="B14" s="7">
        <v>12</v>
      </c>
      <c r="C14" t="str">
        <f>VLOOKUP(B14,_Pitch!$A$2:$B$129,2,FALSE)</f>
        <v>C-1</v>
      </c>
      <c r="D14" s="14"/>
      <c r="E14" s="14"/>
      <c r="F14" s="14"/>
    </row>
    <row r="15" spans="1:7">
      <c r="A15" s="7">
        <v>13</v>
      </c>
      <c r="B15" s="7">
        <v>13</v>
      </c>
      <c r="C15" t="str">
        <f>VLOOKUP(B15,_Pitch!$A$2:$B$129,2,FALSE)</f>
        <v>C#-1</v>
      </c>
      <c r="D15" s="14"/>
      <c r="E15" s="14"/>
      <c r="F15" s="14"/>
    </row>
    <row r="16" spans="1:7">
      <c r="A16" s="7">
        <v>14</v>
      </c>
      <c r="B16" s="7">
        <v>14</v>
      </c>
      <c r="C16" t="str">
        <f>VLOOKUP(B16,_Pitch!$A$2:$B$129,2,FALSE)</f>
        <v>D-1</v>
      </c>
      <c r="D16" s="14"/>
      <c r="E16" s="14"/>
      <c r="F16" s="14"/>
    </row>
    <row r="17" spans="1:6">
      <c r="A17" s="7">
        <v>15</v>
      </c>
      <c r="B17" s="7">
        <v>15</v>
      </c>
      <c r="C17" t="str">
        <f>VLOOKUP(B17,_Pitch!$A$2:$B$129,2,FALSE)</f>
        <v>D#-1</v>
      </c>
      <c r="D17" s="14"/>
      <c r="E17" s="14"/>
      <c r="F17" s="14"/>
    </row>
    <row r="18" spans="1:6">
      <c r="A18" s="7">
        <v>16</v>
      </c>
      <c r="B18" s="7">
        <v>16</v>
      </c>
      <c r="C18" t="str">
        <f>VLOOKUP(B18,_Pitch!$A$2:$B$129,2,FALSE)</f>
        <v>E-1</v>
      </c>
      <c r="D18" s="14"/>
      <c r="E18" s="14"/>
      <c r="F18" s="14"/>
    </row>
    <row r="19" spans="1:6">
      <c r="A19" s="7">
        <v>17</v>
      </c>
      <c r="B19" s="7">
        <v>17</v>
      </c>
      <c r="C19" t="str">
        <f>VLOOKUP(B19,_Pitch!$A$2:$B$129,2,FALSE)</f>
        <v>F-1</v>
      </c>
      <c r="D19" s="14"/>
      <c r="E19" s="14"/>
      <c r="F19" s="14"/>
    </row>
    <row r="20" spans="1:6">
      <c r="A20" s="7">
        <v>18</v>
      </c>
      <c r="B20" s="7">
        <v>18</v>
      </c>
      <c r="C20" t="str">
        <f>VLOOKUP(B20,_Pitch!$A$2:$B$129,2,FALSE)</f>
        <v>F#-1</v>
      </c>
      <c r="D20" s="14"/>
      <c r="E20" s="14"/>
      <c r="F20" s="14"/>
    </row>
    <row r="21" spans="1:6">
      <c r="A21" s="7">
        <v>19</v>
      </c>
      <c r="B21" s="7">
        <v>19</v>
      </c>
      <c r="C21" t="str">
        <f>VLOOKUP(B21,_Pitch!$A$2:$B$129,2,FALSE)</f>
        <v>G-1</v>
      </c>
      <c r="D21" s="14"/>
      <c r="E21" s="14"/>
      <c r="F21" s="14"/>
    </row>
    <row r="22" spans="1:6">
      <c r="A22" s="7">
        <v>20</v>
      </c>
      <c r="B22" s="7">
        <v>20</v>
      </c>
      <c r="C22" t="str">
        <f>VLOOKUP(B22,_Pitch!$A$2:$B$129,2,FALSE)</f>
        <v>G#-1</v>
      </c>
      <c r="D22" s="14"/>
      <c r="E22" s="14"/>
      <c r="F22" s="14"/>
    </row>
    <row r="23" spans="1:6">
      <c r="A23" s="7">
        <v>21</v>
      </c>
      <c r="B23" s="7">
        <v>21</v>
      </c>
      <c r="C23" t="str">
        <f>VLOOKUP(B23,_Pitch!$A$2:$B$129,2,FALSE)</f>
        <v>A-1</v>
      </c>
      <c r="D23" s="14"/>
      <c r="E23" s="14"/>
      <c r="F23" s="14"/>
    </row>
    <row r="24" spans="1:6">
      <c r="A24" s="7">
        <v>22</v>
      </c>
      <c r="B24" s="7">
        <v>22</v>
      </c>
      <c r="C24" t="str">
        <f>VLOOKUP(B24,_Pitch!$A$2:$B$129,2,FALSE)</f>
        <v>A#-1</v>
      </c>
      <c r="D24" s="14"/>
      <c r="E24" s="14"/>
      <c r="F24" s="14"/>
    </row>
    <row r="25" spans="1:6">
      <c r="A25" s="7">
        <v>23</v>
      </c>
      <c r="B25" s="7">
        <v>23</v>
      </c>
      <c r="C25" t="str">
        <f>VLOOKUP(B25,_Pitch!$A$2:$B$129,2,FALSE)</f>
        <v>B-1</v>
      </c>
      <c r="D25" s="14"/>
      <c r="E25" s="14"/>
      <c r="F25" s="14"/>
    </row>
    <row r="26" spans="1:6">
      <c r="A26" s="7">
        <v>24</v>
      </c>
      <c r="B26" s="7">
        <v>24</v>
      </c>
      <c r="C26" t="str">
        <f>VLOOKUP(B26,_Pitch!$A$2:$B$129,2,FALSE)</f>
        <v>C0</v>
      </c>
      <c r="D26" s="14"/>
      <c r="E26" s="14"/>
      <c r="F26" s="14"/>
    </row>
    <row r="27" spans="1:6">
      <c r="A27" s="7">
        <v>25</v>
      </c>
      <c r="B27" s="7">
        <v>25</v>
      </c>
      <c r="C27" t="str">
        <f>VLOOKUP(B27,_Pitch!$A$2:$B$129,2,FALSE)</f>
        <v>C#0</v>
      </c>
      <c r="D27" s="14"/>
      <c r="E27" s="14"/>
      <c r="F27" s="14"/>
    </row>
    <row r="28" spans="1:6">
      <c r="A28" s="7">
        <v>26</v>
      </c>
      <c r="B28" s="7">
        <v>26</v>
      </c>
      <c r="C28" t="str">
        <f>VLOOKUP(B28,_Pitch!$A$2:$B$129,2,FALSE)</f>
        <v>D0</v>
      </c>
      <c r="D28" s="14" t="s">
        <v>649</v>
      </c>
      <c r="E28" s="14"/>
      <c r="F28" s="14"/>
    </row>
    <row r="29" spans="1:6">
      <c r="A29" s="7">
        <v>27</v>
      </c>
      <c r="B29" s="7">
        <v>27</v>
      </c>
      <c r="C29" t="str">
        <f>VLOOKUP(B29,_Pitch!$A$2:$B$129,2,FALSE)</f>
        <v>D#0</v>
      </c>
      <c r="D29" s="14"/>
      <c r="E29" s="14"/>
      <c r="F29" s="14"/>
    </row>
    <row r="30" spans="1:6">
      <c r="A30" s="7">
        <v>28</v>
      </c>
      <c r="B30" s="7">
        <v>28</v>
      </c>
      <c r="C30" t="str">
        <f>VLOOKUP(B30,_Pitch!$A$2:$B$129,2,FALSE)</f>
        <v>E0</v>
      </c>
      <c r="D30" s="14" t="s">
        <v>650</v>
      </c>
      <c r="E30" s="14"/>
      <c r="F30" s="14"/>
    </row>
    <row r="31" spans="1:6">
      <c r="A31" s="7">
        <v>29</v>
      </c>
      <c r="B31" s="7">
        <v>29</v>
      </c>
      <c r="C31" t="str">
        <f>VLOOKUP(B31,_Pitch!$A$2:$B$129,2,FALSE)</f>
        <v>F0</v>
      </c>
      <c r="D31" s="14" t="s">
        <v>651</v>
      </c>
      <c r="E31" s="14"/>
      <c r="F31" s="14"/>
    </row>
    <row r="32" spans="1:6">
      <c r="A32" s="7">
        <v>30</v>
      </c>
      <c r="B32" s="7">
        <v>30</v>
      </c>
      <c r="C32" t="str">
        <f>VLOOKUP(B32,_Pitch!$A$2:$B$129,2,FALSE)</f>
        <v>F#0</v>
      </c>
      <c r="D32" s="14" t="s">
        <v>652</v>
      </c>
      <c r="E32" s="14"/>
      <c r="F32" s="14"/>
    </row>
    <row r="33" spans="1:6">
      <c r="A33" s="7">
        <v>31</v>
      </c>
      <c r="B33" s="7">
        <v>31</v>
      </c>
      <c r="C33" t="str">
        <f>VLOOKUP(B33,_Pitch!$A$2:$B$129,2,FALSE)</f>
        <v>G0</v>
      </c>
      <c r="D33" s="14" t="s">
        <v>653</v>
      </c>
      <c r="E33" s="14"/>
      <c r="F33" s="14"/>
    </row>
    <row r="34" spans="1:6">
      <c r="A34" s="7">
        <v>32</v>
      </c>
      <c r="B34" s="7">
        <v>32</v>
      </c>
      <c r="C34" t="str">
        <f>VLOOKUP(B34,_Pitch!$A$2:$B$129,2,FALSE)</f>
        <v>G#0</v>
      </c>
      <c r="D34" s="14" t="s">
        <v>654</v>
      </c>
      <c r="E34" s="14"/>
      <c r="F34" s="14"/>
    </row>
    <row r="35" spans="1:6">
      <c r="A35" s="7">
        <v>33</v>
      </c>
      <c r="B35" s="7">
        <v>33</v>
      </c>
      <c r="C35" t="str">
        <f>VLOOKUP(B35,_Pitch!$A$2:$B$129,2,FALSE)</f>
        <v>A0</v>
      </c>
      <c r="D35" s="14" t="s">
        <v>655</v>
      </c>
      <c r="E35" s="14"/>
      <c r="F35" s="14"/>
    </row>
    <row r="36" spans="1:6">
      <c r="A36" s="7">
        <v>34</v>
      </c>
      <c r="B36" s="7">
        <v>34</v>
      </c>
      <c r="C36" t="str">
        <f>VLOOKUP(B36,_Pitch!$A$2:$B$129,2,FALSE)</f>
        <v>A#0</v>
      </c>
      <c r="D36" s="14" t="s">
        <v>656</v>
      </c>
      <c r="E36" s="14"/>
      <c r="F36" s="14"/>
    </row>
    <row r="37" spans="1:6">
      <c r="A37" s="7">
        <v>35</v>
      </c>
      <c r="B37" s="7">
        <v>35</v>
      </c>
      <c r="C37" t="str">
        <f>VLOOKUP(B37,_Pitch!$A$2:$B$129,2,FALSE)</f>
        <v>B0</v>
      </c>
      <c r="D37" s="14" t="s">
        <v>648</v>
      </c>
      <c r="E37" s="14"/>
      <c r="F37" s="14"/>
    </row>
    <row r="38" spans="1:6">
      <c r="A38" s="7">
        <v>36</v>
      </c>
      <c r="B38" s="7">
        <v>36</v>
      </c>
      <c r="C38" t="str">
        <f>VLOOKUP(B38,_Pitch!$A$2:$B$129,2,FALSE)</f>
        <v>C1</v>
      </c>
      <c r="D38" s="14" t="s">
        <v>231</v>
      </c>
      <c r="E38" s="14" t="s">
        <v>133</v>
      </c>
      <c r="F38" s="14"/>
    </row>
    <row r="39" spans="1:6">
      <c r="A39" s="7">
        <v>37</v>
      </c>
      <c r="B39" s="7">
        <v>37</v>
      </c>
      <c r="C39" t="str">
        <f>VLOOKUP(B39,_Pitch!$A$2:$B$129,2,FALSE)</f>
        <v>C#1</v>
      </c>
      <c r="D39" s="14" t="s">
        <v>234</v>
      </c>
      <c r="E39" s="14" t="s">
        <v>1077</v>
      </c>
      <c r="F39" s="14"/>
    </row>
    <row r="40" spans="1:6">
      <c r="A40" s="7">
        <v>38</v>
      </c>
      <c r="B40" s="7">
        <v>38</v>
      </c>
      <c r="C40" t="str">
        <f>VLOOKUP(B40,_Pitch!$A$2:$B$129,2,FALSE)</f>
        <v>D1</v>
      </c>
      <c r="D40" s="14" t="s">
        <v>298</v>
      </c>
      <c r="E40" s="14" t="s">
        <v>561</v>
      </c>
      <c r="F40" s="14"/>
    </row>
    <row r="41" spans="1:6">
      <c r="A41" s="7">
        <v>39</v>
      </c>
      <c r="B41" s="7">
        <v>39</v>
      </c>
      <c r="C41" t="str">
        <f>VLOOKUP(B41,_Pitch!$A$2:$B$129,2,FALSE)</f>
        <v>D#1</v>
      </c>
      <c r="D41" s="14" t="s">
        <v>1073</v>
      </c>
      <c r="E41" s="14" t="s">
        <v>133</v>
      </c>
      <c r="F41" s="14" t="s">
        <v>290</v>
      </c>
    </row>
    <row r="42" spans="1:6">
      <c r="A42" s="7">
        <v>40</v>
      </c>
      <c r="B42" s="7">
        <v>40</v>
      </c>
      <c r="C42" t="str">
        <f>VLOOKUP(B42,_Pitch!$A$2:$B$129,2,FALSE)</f>
        <v>E1</v>
      </c>
      <c r="D42" s="14" t="s">
        <v>299</v>
      </c>
      <c r="E42" s="14" t="s">
        <v>561</v>
      </c>
      <c r="F42" s="14" t="s">
        <v>290</v>
      </c>
    </row>
    <row r="43" spans="1:6">
      <c r="A43" s="7">
        <v>41</v>
      </c>
      <c r="B43" s="7">
        <v>41</v>
      </c>
      <c r="C43" t="str">
        <f>VLOOKUP(B43,_Pitch!$A$2:$B$129,2,FALSE)</f>
        <v>F1</v>
      </c>
      <c r="D43" s="14" t="s">
        <v>646</v>
      </c>
      <c r="E43" s="14" t="s">
        <v>1087</v>
      </c>
      <c r="F43" s="14"/>
    </row>
    <row r="44" spans="1:6">
      <c r="A44" s="7">
        <v>42</v>
      </c>
      <c r="B44" s="7">
        <v>42</v>
      </c>
      <c r="C44" t="str">
        <f>VLOOKUP(B44,_Pitch!$A$2:$B$129,2,FALSE)</f>
        <v>F#1</v>
      </c>
      <c r="D44" s="14" t="s">
        <v>300</v>
      </c>
      <c r="E44" s="14" t="s">
        <v>145</v>
      </c>
      <c r="F44" s="14"/>
    </row>
    <row r="45" spans="1:6">
      <c r="A45" s="7">
        <v>43</v>
      </c>
      <c r="B45" s="7">
        <v>43</v>
      </c>
      <c r="C45" t="str">
        <f>VLOOKUP(B45,_Pitch!$A$2:$B$129,2,FALSE)</f>
        <v>G1</v>
      </c>
      <c r="D45" s="14" t="s">
        <v>301</v>
      </c>
      <c r="E45" s="14" t="s">
        <v>138</v>
      </c>
      <c r="F45" s="14"/>
    </row>
    <row r="46" spans="1:6">
      <c r="A46" s="7">
        <v>44</v>
      </c>
      <c r="B46" s="7">
        <v>44</v>
      </c>
      <c r="C46" t="str">
        <f>VLOOKUP(B46,_Pitch!$A$2:$B$129,2,FALSE)</f>
        <v>G#1</v>
      </c>
      <c r="D46" s="14" t="s">
        <v>302</v>
      </c>
      <c r="E46" s="14" t="s">
        <v>144</v>
      </c>
      <c r="F46" s="14"/>
    </row>
    <row r="47" spans="1:6">
      <c r="A47" s="7">
        <v>45</v>
      </c>
      <c r="B47" s="7">
        <v>45</v>
      </c>
      <c r="C47" t="str">
        <f>VLOOKUP(B47,_Pitch!$A$2:$B$129,2,FALSE)</f>
        <v>A1</v>
      </c>
      <c r="D47" s="14" t="s">
        <v>303</v>
      </c>
      <c r="E47" s="14" t="s">
        <v>175</v>
      </c>
      <c r="F47" s="14" t="s">
        <v>290</v>
      </c>
    </row>
    <row r="48" spans="1:6">
      <c r="A48" s="7">
        <v>46</v>
      </c>
      <c r="B48" s="7">
        <v>46</v>
      </c>
      <c r="C48" t="str">
        <f>VLOOKUP(B48,_Pitch!$A$2:$B$129,2,FALSE)</f>
        <v>A#1</v>
      </c>
      <c r="D48" s="14" t="s">
        <v>940</v>
      </c>
      <c r="E48" s="14" t="s">
        <v>568</v>
      </c>
      <c r="F48" s="14" t="s">
        <v>290</v>
      </c>
    </row>
    <row r="49" spans="1:6">
      <c r="A49" s="7">
        <v>47</v>
      </c>
      <c r="B49" s="7">
        <v>47</v>
      </c>
      <c r="C49" t="str">
        <f>VLOOKUP(B49,_Pitch!$A$2:$B$129,2,FALSE)</f>
        <v>B1</v>
      </c>
      <c r="D49" s="14" t="s">
        <v>304</v>
      </c>
      <c r="E49" s="14"/>
      <c r="F49" s="14"/>
    </row>
    <row r="50" spans="1:6">
      <c r="A50" s="7">
        <v>48</v>
      </c>
      <c r="B50" s="7">
        <v>48</v>
      </c>
      <c r="C50" t="str">
        <f>VLOOKUP(B50,_Pitch!$A$2:$B$129,2,FALSE)</f>
        <v>C2</v>
      </c>
      <c r="D50" s="14" t="s">
        <v>305</v>
      </c>
      <c r="E50" s="14" t="s">
        <v>1068</v>
      </c>
      <c r="F50" s="14"/>
    </row>
    <row r="51" spans="1:6">
      <c r="A51" s="7">
        <v>49</v>
      </c>
      <c r="B51" s="7">
        <v>49</v>
      </c>
      <c r="C51" t="str">
        <f>VLOOKUP(B51,_Pitch!$A$2:$B$129,2,FALSE)</f>
        <v>C#2</v>
      </c>
      <c r="D51" s="14" t="s">
        <v>306</v>
      </c>
      <c r="E51" s="14" t="s">
        <v>154</v>
      </c>
      <c r="F51" s="14"/>
    </row>
    <row r="52" spans="1:6">
      <c r="A52" s="7">
        <v>50</v>
      </c>
      <c r="B52" s="7">
        <v>50</v>
      </c>
      <c r="C52" t="str">
        <f>VLOOKUP(B52,_Pitch!$A$2:$B$129,2,FALSE)</f>
        <v>D2</v>
      </c>
      <c r="D52" s="14" t="s">
        <v>307</v>
      </c>
      <c r="E52" s="14" t="s">
        <v>151</v>
      </c>
      <c r="F52" s="14"/>
    </row>
    <row r="53" spans="1:6">
      <c r="A53" s="7">
        <v>51</v>
      </c>
      <c r="B53" s="7">
        <v>51</v>
      </c>
      <c r="C53" t="str">
        <f>VLOOKUP(B53,_Pitch!$A$2:$B$129,2,FALSE)</f>
        <v>D#2</v>
      </c>
      <c r="D53" s="14" t="s">
        <v>308</v>
      </c>
      <c r="E53" s="14" t="s">
        <v>153</v>
      </c>
      <c r="F53" s="14"/>
    </row>
    <row r="54" spans="1:6">
      <c r="A54" s="7">
        <v>52</v>
      </c>
      <c r="B54" s="7">
        <v>52</v>
      </c>
      <c r="C54" t="str">
        <f>VLOOKUP(B54,_Pitch!$A$2:$B$129,2,FALSE)</f>
        <v>E2</v>
      </c>
      <c r="D54" s="14" t="s">
        <v>309</v>
      </c>
      <c r="E54" s="14" t="s">
        <v>149</v>
      </c>
      <c r="F54" s="14"/>
    </row>
    <row r="55" spans="1:6">
      <c r="A55" s="7">
        <v>53</v>
      </c>
      <c r="B55" s="7">
        <v>53</v>
      </c>
      <c r="C55" t="str">
        <f>VLOOKUP(B55,_Pitch!$A$2:$B$129,2,FALSE)</f>
        <v>F2</v>
      </c>
      <c r="D55" s="14" t="s">
        <v>310</v>
      </c>
      <c r="E55" s="14" t="s">
        <v>155</v>
      </c>
      <c r="F55" s="14"/>
    </row>
    <row r="56" spans="1:6">
      <c r="A56" s="7">
        <v>54</v>
      </c>
      <c r="B56" s="7">
        <v>54</v>
      </c>
      <c r="C56" t="str">
        <f>VLOOKUP(B56,_Pitch!$A$2:$B$129,2,FALSE)</f>
        <v>F#2</v>
      </c>
      <c r="D56" s="14" t="s">
        <v>311</v>
      </c>
      <c r="E56" s="14" t="s">
        <v>159</v>
      </c>
      <c r="F56" s="14"/>
    </row>
    <row r="57" spans="1:6">
      <c r="A57" s="7">
        <v>55</v>
      </c>
      <c r="B57" s="7">
        <v>55</v>
      </c>
      <c r="C57" t="str">
        <f>VLOOKUP(B57,_Pitch!$A$2:$B$129,2,FALSE)</f>
        <v>G2</v>
      </c>
      <c r="D57" s="14" t="s">
        <v>312</v>
      </c>
      <c r="E57" s="14" t="s">
        <v>160</v>
      </c>
      <c r="F57" s="14"/>
    </row>
    <row r="58" spans="1:6">
      <c r="A58" s="7">
        <v>56</v>
      </c>
      <c r="B58" s="7">
        <v>56</v>
      </c>
      <c r="C58" t="str">
        <f>VLOOKUP(B58,_Pitch!$A$2:$B$129,2,FALSE)</f>
        <v>G#2</v>
      </c>
      <c r="D58" s="14" t="s">
        <v>313</v>
      </c>
      <c r="E58" s="14" t="s">
        <v>161</v>
      </c>
      <c r="F58" s="14"/>
    </row>
    <row r="59" spans="1:6">
      <c r="A59" s="7">
        <v>57</v>
      </c>
      <c r="B59" s="7">
        <v>57</v>
      </c>
      <c r="C59" t="str">
        <f>VLOOKUP(B59,_Pitch!$A$2:$B$129,2,FALSE)</f>
        <v>A2</v>
      </c>
      <c r="D59" s="14" t="s">
        <v>314</v>
      </c>
      <c r="E59" s="14" t="s">
        <v>162</v>
      </c>
      <c r="F59" s="14"/>
    </row>
    <row r="60" spans="1:6">
      <c r="A60" s="7">
        <v>58</v>
      </c>
      <c r="B60" s="7">
        <v>58</v>
      </c>
      <c r="C60" t="str">
        <f>VLOOKUP(B60,_Pitch!$A$2:$B$129,2,FALSE)</f>
        <v>A#2</v>
      </c>
      <c r="D60" s="14" t="s">
        <v>315</v>
      </c>
      <c r="E60" s="14" t="s">
        <v>172</v>
      </c>
      <c r="F60" s="14"/>
    </row>
    <row r="61" spans="1:6">
      <c r="A61" s="7">
        <v>59</v>
      </c>
      <c r="B61" s="7">
        <v>59</v>
      </c>
      <c r="C61" t="str">
        <f>VLOOKUP(B61,_Pitch!$A$2:$B$129,2,FALSE)</f>
        <v>B2</v>
      </c>
      <c r="D61" s="14" t="s">
        <v>316</v>
      </c>
      <c r="E61" s="14" t="s">
        <v>794</v>
      </c>
      <c r="F61" s="14"/>
    </row>
    <row r="62" spans="1:6">
      <c r="A62" s="7">
        <v>60</v>
      </c>
      <c r="B62" s="7">
        <v>60</v>
      </c>
      <c r="C62" t="str">
        <f>VLOOKUP(B62,_Pitch!$A$2:$B$129,2,FALSE)</f>
        <v>C3</v>
      </c>
      <c r="D62" s="14" t="s">
        <v>317</v>
      </c>
      <c r="E62" s="14" t="s">
        <v>175</v>
      </c>
      <c r="F62" s="14"/>
    </row>
    <row r="63" spans="1:6">
      <c r="A63" s="7">
        <v>61</v>
      </c>
      <c r="B63" s="7">
        <v>61</v>
      </c>
      <c r="C63" t="str">
        <f>VLOOKUP(B63,_Pitch!$A$2:$B$129,2,FALSE)</f>
        <v>C#3</v>
      </c>
      <c r="D63" s="14" t="s">
        <v>318</v>
      </c>
      <c r="E63" s="14" t="s">
        <v>180</v>
      </c>
      <c r="F63" s="14"/>
    </row>
    <row r="64" spans="1:6">
      <c r="A64" s="7">
        <v>62</v>
      </c>
      <c r="B64" s="7">
        <v>62</v>
      </c>
      <c r="C64" t="str">
        <f>VLOOKUP(B64,_Pitch!$A$2:$B$129,2,FALSE)</f>
        <v>D3</v>
      </c>
      <c r="D64" s="14" t="s">
        <v>319</v>
      </c>
      <c r="E64" s="14" t="s">
        <v>179</v>
      </c>
      <c r="F64" s="14"/>
    </row>
    <row r="65" spans="1:6">
      <c r="A65" s="7">
        <v>63</v>
      </c>
      <c r="B65" s="7">
        <v>63</v>
      </c>
      <c r="C65" t="str">
        <f>VLOOKUP(B65,_Pitch!$A$2:$B$129,2,FALSE)</f>
        <v>D#3</v>
      </c>
      <c r="D65" s="14" t="s">
        <v>183</v>
      </c>
      <c r="E65" s="14" t="s">
        <v>183</v>
      </c>
      <c r="F65" s="14"/>
    </row>
    <row r="66" spans="1:6">
      <c r="A66" s="7">
        <v>64</v>
      </c>
      <c r="B66" s="7">
        <v>64</v>
      </c>
      <c r="C66" t="str">
        <f>VLOOKUP(B66,_Pitch!$A$2:$B$129,2,FALSE)</f>
        <v>E3</v>
      </c>
      <c r="D66" s="14"/>
      <c r="E66" s="14"/>
      <c r="F66" s="14"/>
    </row>
    <row r="67" spans="1:6">
      <c r="A67" s="7">
        <v>65</v>
      </c>
      <c r="B67" s="7">
        <v>65</v>
      </c>
      <c r="C67" t="str">
        <f>VLOOKUP(B67,_Pitch!$A$2:$B$129,2,FALSE)</f>
        <v>F3</v>
      </c>
      <c r="D67" s="14" t="s">
        <v>320</v>
      </c>
      <c r="E67" s="14" t="s">
        <v>557</v>
      </c>
      <c r="F67" s="14"/>
    </row>
    <row r="68" spans="1:6">
      <c r="A68" s="7">
        <v>66</v>
      </c>
      <c r="B68" s="7">
        <v>66</v>
      </c>
      <c r="C68" t="str">
        <f>VLOOKUP(B68,_Pitch!$A$2:$B$129,2,FALSE)</f>
        <v>F#3</v>
      </c>
      <c r="D68" s="14" t="s">
        <v>321</v>
      </c>
      <c r="E68" s="14" t="s">
        <v>203</v>
      </c>
      <c r="F68" s="14"/>
    </row>
    <row r="69" spans="1:6">
      <c r="A69" s="7">
        <v>67</v>
      </c>
      <c r="B69" s="7">
        <v>67</v>
      </c>
      <c r="C69" t="str">
        <f>VLOOKUP(B69,_Pitch!$A$2:$B$129,2,FALSE)</f>
        <v>G3</v>
      </c>
      <c r="D69" s="14" t="s">
        <v>322</v>
      </c>
      <c r="E69" s="14" t="s">
        <v>558</v>
      </c>
      <c r="F69" s="14"/>
    </row>
    <row r="70" spans="1:6">
      <c r="A70" s="7">
        <v>68</v>
      </c>
      <c r="B70" s="7">
        <v>68</v>
      </c>
      <c r="C70" t="str">
        <f>VLOOKUP(B70,_Pitch!$A$2:$B$129,2,FALSE)</f>
        <v>G#3</v>
      </c>
      <c r="D70" s="14" t="s">
        <v>323</v>
      </c>
      <c r="E70" s="14" t="s">
        <v>198</v>
      </c>
      <c r="F70" s="14"/>
    </row>
    <row r="71" spans="1:6">
      <c r="A71" s="7">
        <v>69</v>
      </c>
      <c r="B71" s="7">
        <v>69</v>
      </c>
      <c r="C71" t="str">
        <f>VLOOKUP(B71,_Pitch!$A$2:$B$129,2,FALSE)</f>
        <v>A3</v>
      </c>
      <c r="D71" s="14" t="s">
        <v>324</v>
      </c>
      <c r="E71" s="14" t="s">
        <v>559</v>
      </c>
      <c r="F71" s="14"/>
    </row>
    <row r="72" spans="1:6">
      <c r="A72" s="7">
        <v>70</v>
      </c>
      <c r="B72" s="7">
        <v>70</v>
      </c>
      <c r="C72" t="str">
        <f>VLOOKUP(B72,_Pitch!$A$2:$B$129,2,FALSE)</f>
        <v>A#3</v>
      </c>
      <c r="D72" s="14" t="s">
        <v>325</v>
      </c>
      <c r="E72" s="14" t="s">
        <v>191</v>
      </c>
      <c r="F72" s="14"/>
    </row>
    <row r="73" spans="1:6">
      <c r="A73" s="7">
        <v>71</v>
      </c>
      <c r="B73" s="7">
        <v>71</v>
      </c>
      <c r="C73" t="str">
        <f>VLOOKUP(B73,_Pitch!$A$2:$B$129,2,FALSE)</f>
        <v>B3</v>
      </c>
      <c r="D73" s="14" t="s">
        <v>326</v>
      </c>
      <c r="E73" s="14" t="s">
        <v>560</v>
      </c>
      <c r="F73" s="14"/>
    </row>
    <row r="74" spans="1:6">
      <c r="A74" s="7">
        <v>72</v>
      </c>
      <c r="B74" s="7">
        <v>72</v>
      </c>
      <c r="C74" t="str">
        <f>VLOOKUP(B74,_Pitch!$A$2:$B$129,2,FALSE)</f>
        <v>C4</v>
      </c>
      <c r="D74" s="14" t="s">
        <v>327</v>
      </c>
      <c r="E74" s="14" t="s">
        <v>189</v>
      </c>
      <c r="F74" s="14"/>
    </row>
    <row r="75" spans="1:6">
      <c r="A75" s="7">
        <v>73</v>
      </c>
      <c r="B75" s="7">
        <v>73</v>
      </c>
      <c r="C75" t="str">
        <f>VLOOKUP(B75,_Pitch!$A$2:$B$129,2,FALSE)</f>
        <v>C#4</v>
      </c>
      <c r="D75" s="14" t="s">
        <v>328</v>
      </c>
      <c r="E75" s="14"/>
      <c r="F75" s="14"/>
    </row>
    <row r="76" spans="1:6">
      <c r="A76" s="7">
        <v>74</v>
      </c>
      <c r="B76" s="7">
        <v>74</v>
      </c>
      <c r="C76" t="str">
        <f>VLOOKUP(B76,_Pitch!$A$2:$B$129,2,FALSE)</f>
        <v>D4</v>
      </c>
      <c r="D76" s="14" t="s">
        <v>329</v>
      </c>
      <c r="E76" s="14"/>
      <c r="F76" s="14"/>
    </row>
    <row r="77" spans="1:6">
      <c r="A77" s="7">
        <v>75</v>
      </c>
      <c r="B77" s="7">
        <v>75</v>
      </c>
      <c r="C77" t="str">
        <f>VLOOKUP(B77,_Pitch!$A$2:$B$129,2,FALSE)</f>
        <v>D#4</v>
      </c>
      <c r="D77" s="14" t="s">
        <v>330</v>
      </c>
      <c r="E77" s="14" t="s">
        <v>330</v>
      </c>
      <c r="F77" s="14"/>
    </row>
    <row r="78" spans="1:6">
      <c r="A78" s="7">
        <v>76</v>
      </c>
      <c r="B78" s="7">
        <v>76</v>
      </c>
      <c r="C78" t="str">
        <f>VLOOKUP(B78,_Pitch!$A$2:$B$129,2,FALSE)</f>
        <v>E4</v>
      </c>
      <c r="D78" s="14" t="s">
        <v>331</v>
      </c>
      <c r="E78" s="14"/>
      <c r="F78" s="14"/>
    </row>
    <row r="79" spans="1:6">
      <c r="A79" s="7">
        <v>77</v>
      </c>
      <c r="B79" s="7">
        <v>77</v>
      </c>
      <c r="C79" t="str">
        <f>VLOOKUP(B79,_Pitch!$A$2:$B$129,2,FALSE)</f>
        <v>F4</v>
      </c>
      <c r="D79" s="14" t="s">
        <v>937</v>
      </c>
      <c r="E79" s="14" t="s">
        <v>568</v>
      </c>
      <c r="F79" s="14"/>
    </row>
    <row r="80" spans="1:6">
      <c r="A80" s="7">
        <v>78</v>
      </c>
      <c r="B80" s="7">
        <v>78</v>
      </c>
      <c r="C80" t="str">
        <f>VLOOKUP(B80,_Pitch!$A$2:$B$129,2,FALSE)</f>
        <v>F#4</v>
      </c>
      <c r="D80" s="14" t="s">
        <v>384</v>
      </c>
      <c r="E80" s="14" t="s">
        <v>210</v>
      </c>
      <c r="F80" s="14"/>
    </row>
    <row r="81" spans="1:6">
      <c r="A81" s="7">
        <v>79</v>
      </c>
      <c r="B81" s="7">
        <v>79</v>
      </c>
      <c r="C81" t="str">
        <f>VLOOKUP(B81,_Pitch!$A$2:$B$129,2,FALSE)</f>
        <v>G4</v>
      </c>
      <c r="D81" s="14" t="s">
        <v>944</v>
      </c>
      <c r="E81" s="14" t="s">
        <v>569</v>
      </c>
      <c r="F81" s="14"/>
    </row>
    <row r="82" spans="1:6">
      <c r="A82" s="7">
        <v>80</v>
      </c>
      <c r="B82" s="7">
        <v>80</v>
      </c>
      <c r="C82" t="str">
        <f>VLOOKUP(B82,_Pitch!$A$2:$B$129,2,FALSE)</f>
        <v>G#4</v>
      </c>
      <c r="D82" s="14" t="s">
        <v>385</v>
      </c>
      <c r="E82" s="14" t="s">
        <v>216</v>
      </c>
      <c r="F82" s="14"/>
    </row>
    <row r="83" spans="1:6">
      <c r="A83" s="7">
        <v>81</v>
      </c>
      <c r="B83" s="7">
        <v>81</v>
      </c>
      <c r="C83" t="str">
        <f>VLOOKUP(B83,_Pitch!$A$2:$B$129,2,FALSE)</f>
        <v>A4</v>
      </c>
      <c r="D83" s="14" t="s">
        <v>950</v>
      </c>
      <c r="E83" s="14" t="s">
        <v>905</v>
      </c>
      <c r="F83" s="14"/>
    </row>
    <row r="84" spans="1:6">
      <c r="A84" s="7">
        <v>82</v>
      </c>
      <c r="B84" s="7">
        <v>82</v>
      </c>
      <c r="C84" t="str">
        <f>VLOOKUP(B84,_Pitch!$A$2:$B$129,2,FALSE)</f>
        <v>A#4</v>
      </c>
      <c r="D84" s="14" t="s">
        <v>951</v>
      </c>
      <c r="E84" s="14" t="s">
        <v>919</v>
      </c>
      <c r="F84" s="14"/>
    </row>
    <row r="85" spans="1:6">
      <c r="A85" s="7">
        <v>83</v>
      </c>
      <c r="B85" s="7">
        <v>83</v>
      </c>
      <c r="C85" t="str">
        <f>VLOOKUP(B85,_Pitch!$A$2:$B$129,2,FALSE)</f>
        <v>B4</v>
      </c>
      <c r="D85" s="14"/>
      <c r="E85" s="14"/>
      <c r="F85" s="14"/>
    </row>
    <row r="86" spans="1:6">
      <c r="A86" s="7">
        <v>84</v>
      </c>
      <c r="B86" s="7">
        <v>84</v>
      </c>
      <c r="C86" t="str">
        <f>VLOOKUP(B86,_Pitch!$A$2:$B$129,2,FALSE)</f>
        <v>C5</v>
      </c>
      <c r="D86" s="14" t="s">
        <v>332</v>
      </c>
      <c r="E86" s="14" t="s">
        <v>184</v>
      </c>
      <c r="F86" s="14" t="s">
        <v>663</v>
      </c>
    </row>
    <row r="87" spans="1:6">
      <c r="A87" s="7">
        <v>85</v>
      </c>
      <c r="B87" s="7">
        <v>85</v>
      </c>
      <c r="C87" t="str">
        <f>VLOOKUP(B87,_Pitch!$A$2:$B$129,2,FALSE)</f>
        <v>C#5</v>
      </c>
      <c r="D87" s="14" t="s">
        <v>333</v>
      </c>
      <c r="E87" s="14" t="s">
        <v>186</v>
      </c>
      <c r="F87" s="14" t="s">
        <v>663</v>
      </c>
    </row>
    <row r="88" spans="1:6">
      <c r="A88" s="7">
        <v>86</v>
      </c>
      <c r="B88" s="7">
        <v>86</v>
      </c>
      <c r="C88" t="str">
        <f>VLOOKUP(B88,_Pitch!$A$2:$B$129,2,FALSE)</f>
        <v>D5</v>
      </c>
      <c r="D88" s="14" t="s">
        <v>334</v>
      </c>
      <c r="E88" s="14" t="s">
        <v>185</v>
      </c>
      <c r="F88" s="14" t="s">
        <v>663</v>
      </c>
    </row>
    <row r="89" spans="1:6">
      <c r="A89" s="7">
        <v>87</v>
      </c>
      <c r="B89" s="7">
        <v>87</v>
      </c>
      <c r="C89" t="str">
        <f>VLOOKUP(B89,_Pitch!$A$2:$B$129,2,FALSE)</f>
        <v>D#5</v>
      </c>
      <c r="D89" s="14" t="s">
        <v>187</v>
      </c>
      <c r="E89" s="14" t="s">
        <v>187</v>
      </c>
      <c r="F89" s="14" t="s">
        <v>663</v>
      </c>
    </row>
    <row r="90" spans="1:6">
      <c r="A90" s="7">
        <v>88</v>
      </c>
      <c r="B90" s="7">
        <v>88</v>
      </c>
      <c r="C90" t="str">
        <f>VLOOKUP(B90,_Pitch!$A$2:$B$129,2,FALSE)</f>
        <v>E5</v>
      </c>
      <c r="D90" s="14"/>
      <c r="E90" s="14"/>
      <c r="F90" s="14"/>
    </row>
    <row r="91" spans="1:6">
      <c r="A91" s="7">
        <v>89</v>
      </c>
      <c r="B91" s="7">
        <v>89</v>
      </c>
      <c r="C91" t="str">
        <f>VLOOKUP(B91,_Pitch!$A$2:$B$129,2,FALSE)</f>
        <v>F5</v>
      </c>
      <c r="D91" s="14" t="s">
        <v>959</v>
      </c>
      <c r="E91" s="14" t="s">
        <v>944</v>
      </c>
      <c r="F91" s="14"/>
    </row>
    <row r="92" spans="1:6">
      <c r="A92" s="7">
        <v>90</v>
      </c>
      <c r="B92" s="7">
        <v>90</v>
      </c>
      <c r="C92" t="str">
        <f>VLOOKUP(B92,_Pitch!$A$2:$B$129,2,FALSE)</f>
        <v>F#5</v>
      </c>
      <c r="D92" s="14" t="s">
        <v>960</v>
      </c>
      <c r="E92" s="14" t="s">
        <v>385</v>
      </c>
      <c r="F92" s="14"/>
    </row>
    <row r="93" spans="1:6">
      <c r="A93" s="7">
        <v>91</v>
      </c>
      <c r="B93" s="7">
        <v>91</v>
      </c>
      <c r="C93" t="str">
        <f>VLOOKUP(B93,_Pitch!$A$2:$B$129,2,FALSE)</f>
        <v>G5</v>
      </c>
      <c r="D93" s="14" t="s">
        <v>965</v>
      </c>
      <c r="E93" s="14" t="s">
        <v>950</v>
      </c>
      <c r="F93" s="14"/>
    </row>
    <row r="94" spans="1:6">
      <c r="A94" s="7">
        <v>92</v>
      </c>
      <c r="B94" s="7">
        <v>92</v>
      </c>
      <c r="C94" t="str">
        <f>VLOOKUP(B94,_Pitch!$A$2:$B$129,2,FALSE)</f>
        <v>G#5</v>
      </c>
      <c r="D94" s="14" t="s">
        <v>966</v>
      </c>
      <c r="E94" s="14" t="s">
        <v>951</v>
      </c>
      <c r="F94" s="14"/>
    </row>
    <row r="95" spans="1:6">
      <c r="A95" s="7">
        <v>93</v>
      </c>
      <c r="B95" s="7">
        <v>93</v>
      </c>
      <c r="C95" t="str">
        <f>VLOOKUP(B95,_Pitch!$A$2:$B$129,2,FALSE)</f>
        <v>A5</v>
      </c>
      <c r="D95" s="14" t="s">
        <v>973</v>
      </c>
      <c r="E95" s="14" t="s">
        <v>904</v>
      </c>
      <c r="F95" s="14"/>
    </row>
    <row r="96" spans="1:6">
      <c r="A96" s="7">
        <v>94</v>
      </c>
      <c r="B96" s="7">
        <v>94</v>
      </c>
      <c r="C96" t="str">
        <f>VLOOKUP(B96,_Pitch!$A$2:$B$129,2,FALSE)</f>
        <v>A#5</v>
      </c>
      <c r="D96" s="14" t="s">
        <v>974</v>
      </c>
      <c r="E96" s="14" t="s">
        <v>914</v>
      </c>
      <c r="F96" s="14"/>
    </row>
    <row r="97" spans="1:6">
      <c r="A97" s="7">
        <v>95</v>
      </c>
      <c r="B97" s="7">
        <v>95</v>
      </c>
      <c r="C97" t="str">
        <f>VLOOKUP(B97,_Pitch!$A$2:$B$129,2,FALSE)</f>
        <v>B5</v>
      </c>
      <c r="D97" s="14"/>
      <c r="E97" s="14"/>
      <c r="F97" s="14"/>
    </row>
    <row r="98" spans="1:6">
      <c r="A98" s="7">
        <v>96</v>
      </c>
      <c r="B98" s="7">
        <v>96</v>
      </c>
      <c r="C98" t="str">
        <f>VLOOKUP(B98,_Pitch!$A$2:$B$129,2,FALSE)</f>
        <v>C6</v>
      </c>
      <c r="D98" s="14" t="s">
        <v>335</v>
      </c>
      <c r="E98" s="14"/>
      <c r="F98" s="14"/>
    </row>
    <row r="99" spans="1:6">
      <c r="A99" s="7">
        <v>97</v>
      </c>
      <c r="B99" s="7">
        <v>97</v>
      </c>
      <c r="C99" t="str">
        <f>VLOOKUP(B99,_Pitch!$A$2:$B$129,2,FALSE)</f>
        <v>C#6</v>
      </c>
      <c r="D99" s="14" t="s">
        <v>336</v>
      </c>
      <c r="E99" s="14"/>
      <c r="F99" s="14"/>
    </row>
    <row r="100" spans="1:6">
      <c r="A100" s="7">
        <v>98</v>
      </c>
      <c r="B100" s="7">
        <v>98</v>
      </c>
      <c r="C100" t="str">
        <f>VLOOKUP(B100,_Pitch!$A$2:$B$129,2,FALSE)</f>
        <v>D6</v>
      </c>
      <c r="D100" s="14" t="s">
        <v>337</v>
      </c>
      <c r="E100" s="14"/>
      <c r="F100" s="14"/>
    </row>
    <row r="101" spans="1:6">
      <c r="A101" s="7">
        <v>99</v>
      </c>
      <c r="B101" s="7">
        <v>99</v>
      </c>
      <c r="C101" t="str">
        <f>VLOOKUP(B101,_Pitch!$A$2:$B$129,2,FALSE)</f>
        <v>D#6</v>
      </c>
      <c r="D101" s="14" t="s">
        <v>338</v>
      </c>
      <c r="E101" s="14"/>
      <c r="F101" s="14"/>
    </row>
    <row r="102" spans="1:6">
      <c r="A102" s="7">
        <v>100</v>
      </c>
      <c r="B102" s="7">
        <v>100</v>
      </c>
      <c r="C102" t="str">
        <f>VLOOKUP(B102,_Pitch!$A$2:$B$129,2,FALSE)</f>
        <v>E6</v>
      </c>
      <c r="D102" s="14" t="s">
        <v>339</v>
      </c>
      <c r="E102" s="14"/>
      <c r="F102" s="14"/>
    </row>
    <row r="103" spans="1:6">
      <c r="A103" s="7">
        <v>101</v>
      </c>
      <c r="B103" s="7">
        <v>101</v>
      </c>
      <c r="C103" t="str">
        <f>VLOOKUP(B103,_Pitch!$A$2:$B$129,2,FALSE)</f>
        <v>F6</v>
      </c>
      <c r="D103" s="14" t="s">
        <v>340</v>
      </c>
      <c r="E103" s="14"/>
      <c r="F103" s="14"/>
    </row>
    <row r="104" spans="1:6">
      <c r="A104" s="7">
        <v>102</v>
      </c>
      <c r="B104" s="7">
        <v>102</v>
      </c>
      <c r="C104" t="str">
        <f>VLOOKUP(B104,_Pitch!$A$2:$B$129,2,FALSE)</f>
        <v>F#6</v>
      </c>
      <c r="D104" s="14" t="s">
        <v>341</v>
      </c>
      <c r="E104" s="14"/>
      <c r="F104" s="14"/>
    </row>
    <row r="105" spans="1:6">
      <c r="A105" s="7">
        <v>103</v>
      </c>
      <c r="B105" s="7">
        <v>103</v>
      </c>
      <c r="C105" t="str">
        <f>VLOOKUP(B105,_Pitch!$A$2:$B$129,2,FALSE)</f>
        <v>G6</v>
      </c>
      <c r="D105" s="14" t="s">
        <v>342</v>
      </c>
      <c r="E105" s="14"/>
      <c r="F105" s="14"/>
    </row>
    <row r="106" spans="1:6">
      <c r="A106" s="7">
        <v>104</v>
      </c>
      <c r="B106" s="7">
        <v>104</v>
      </c>
      <c r="C106" t="str">
        <f>VLOOKUP(B106,_Pitch!$A$2:$B$129,2,FALSE)</f>
        <v>G#6</v>
      </c>
      <c r="D106" s="14"/>
      <c r="E106" s="14"/>
      <c r="F106" s="14"/>
    </row>
    <row r="107" spans="1:6">
      <c r="A107" s="7">
        <v>105</v>
      </c>
      <c r="B107" s="7">
        <v>105</v>
      </c>
      <c r="C107" t="str">
        <f>VLOOKUP(B107,_Pitch!$A$2:$B$129,2,FALSE)</f>
        <v>A6</v>
      </c>
      <c r="D107" s="14"/>
      <c r="E107" s="14"/>
      <c r="F107" s="14"/>
    </row>
    <row r="108" spans="1:6">
      <c r="A108" s="7">
        <v>106</v>
      </c>
      <c r="B108" s="7">
        <v>106</v>
      </c>
      <c r="C108" t="str">
        <f>VLOOKUP(B108,_Pitch!$A$2:$B$129,2,FALSE)</f>
        <v>A#6</v>
      </c>
      <c r="D108" s="14"/>
      <c r="E108" s="14"/>
      <c r="F108" s="14"/>
    </row>
    <row r="109" spans="1:6">
      <c r="A109" s="7">
        <v>107</v>
      </c>
      <c r="B109" s="7">
        <v>107</v>
      </c>
      <c r="C109" t="str">
        <f>VLOOKUP(B109,_Pitch!$A$2:$B$129,2,FALSE)</f>
        <v>B6</v>
      </c>
      <c r="D109" s="14"/>
      <c r="E109" s="14"/>
      <c r="F109" s="14"/>
    </row>
    <row r="110" spans="1:6">
      <c r="A110" s="7">
        <v>108</v>
      </c>
      <c r="B110" s="7">
        <v>108</v>
      </c>
      <c r="C110" t="str">
        <f>VLOOKUP(B110,_Pitch!$A$2:$B$129,2,FALSE)</f>
        <v>C7</v>
      </c>
      <c r="D110" s="14"/>
      <c r="E110" s="14"/>
      <c r="F110" s="14"/>
    </row>
    <row r="111" spans="1:6">
      <c r="A111" s="7">
        <v>109</v>
      </c>
      <c r="B111" s="7">
        <v>109</v>
      </c>
      <c r="C111" t="str">
        <f>VLOOKUP(B111,_Pitch!$A$2:$B$129,2,FALSE)</f>
        <v>C#7</v>
      </c>
      <c r="D111" s="14"/>
      <c r="E111" s="14"/>
      <c r="F111" s="14"/>
    </row>
    <row r="112" spans="1:6">
      <c r="A112" s="7">
        <v>110</v>
      </c>
      <c r="B112" s="7">
        <v>110</v>
      </c>
      <c r="C112" t="str">
        <f>VLOOKUP(B112,_Pitch!$A$2:$B$129,2,FALSE)</f>
        <v>D7</v>
      </c>
      <c r="D112" s="14"/>
      <c r="E112" s="14"/>
      <c r="F112" s="14"/>
    </row>
    <row r="113" spans="1:6">
      <c r="A113" s="7">
        <v>111</v>
      </c>
      <c r="B113" s="7">
        <v>111</v>
      </c>
      <c r="C113" t="str">
        <f>VLOOKUP(B113,_Pitch!$A$2:$B$129,2,FALSE)</f>
        <v>D#7</v>
      </c>
      <c r="D113" s="14"/>
      <c r="E113" s="14"/>
      <c r="F113" s="14"/>
    </row>
    <row r="114" spans="1:6">
      <c r="A114" s="7">
        <v>112</v>
      </c>
      <c r="B114" s="7">
        <v>112</v>
      </c>
      <c r="C114" t="str">
        <f>VLOOKUP(B114,_Pitch!$A$2:$B$129,2,FALSE)</f>
        <v>E7</v>
      </c>
      <c r="D114" s="14"/>
      <c r="E114" s="14"/>
      <c r="F114" s="14"/>
    </row>
    <row r="115" spans="1:6">
      <c r="A115" s="7">
        <v>113</v>
      </c>
      <c r="B115" s="7">
        <v>113</v>
      </c>
      <c r="C115" t="str">
        <f>VLOOKUP(B115,_Pitch!$A$2:$B$129,2,FALSE)</f>
        <v>F7</v>
      </c>
      <c r="D115" s="14"/>
      <c r="E115" s="14"/>
      <c r="F115" s="14"/>
    </row>
    <row r="116" spans="1:6">
      <c r="A116" s="7">
        <v>114</v>
      </c>
      <c r="B116" s="7">
        <v>114</v>
      </c>
      <c r="C116" t="str">
        <f>VLOOKUP(B116,_Pitch!$A$2:$B$129,2,FALSE)</f>
        <v>F#7</v>
      </c>
      <c r="D116" s="14"/>
      <c r="E116" s="14"/>
      <c r="F116" s="14"/>
    </row>
    <row r="117" spans="1:6">
      <c r="A117" s="7">
        <v>115</v>
      </c>
      <c r="B117" s="7">
        <v>115</v>
      </c>
      <c r="C117" t="str">
        <f>VLOOKUP(B117,_Pitch!$A$2:$B$129,2,FALSE)</f>
        <v>G7</v>
      </c>
      <c r="D117" s="14"/>
      <c r="E117" s="14"/>
      <c r="F117" s="14"/>
    </row>
    <row r="118" spans="1:6">
      <c r="A118" s="7">
        <v>116</v>
      </c>
      <c r="B118" s="7">
        <v>116</v>
      </c>
      <c r="C118" t="str">
        <f>VLOOKUP(B118,_Pitch!$A$2:$B$129,2,FALSE)</f>
        <v>G#7</v>
      </c>
      <c r="D118" s="14"/>
      <c r="E118" s="14"/>
      <c r="F118" s="14"/>
    </row>
    <row r="119" spans="1:6">
      <c r="A119" s="7">
        <v>117</v>
      </c>
      <c r="B119" s="7">
        <v>117</v>
      </c>
      <c r="C119" t="str">
        <f>VLOOKUP(B119,_Pitch!$A$2:$B$129,2,FALSE)</f>
        <v>A7</v>
      </c>
      <c r="D119" s="14"/>
      <c r="E119" s="14"/>
      <c r="F119" s="14"/>
    </row>
    <row r="120" spans="1:6">
      <c r="A120" s="7">
        <v>118</v>
      </c>
      <c r="B120" s="7">
        <v>118</v>
      </c>
      <c r="C120" t="str">
        <f>VLOOKUP(B120,_Pitch!$A$2:$B$129,2,FALSE)</f>
        <v>A#7</v>
      </c>
      <c r="D120" s="14"/>
      <c r="E120" s="14"/>
      <c r="F120" s="14"/>
    </row>
    <row r="121" spans="1:6">
      <c r="A121" s="7">
        <v>119</v>
      </c>
      <c r="B121" s="7">
        <v>119</v>
      </c>
      <c r="C121" t="str">
        <f>VLOOKUP(B121,_Pitch!$A$2:$B$129,2,FALSE)</f>
        <v>B7</v>
      </c>
      <c r="D121" s="14"/>
      <c r="E121" s="14"/>
      <c r="F121" s="14"/>
    </row>
    <row r="122" spans="1:6">
      <c r="A122" s="7">
        <v>120</v>
      </c>
      <c r="B122" s="7">
        <v>120</v>
      </c>
      <c r="C122" t="str">
        <f>VLOOKUP(B122,_Pitch!$A$2:$B$129,2,FALSE)</f>
        <v>C8</v>
      </c>
      <c r="D122" s="14"/>
      <c r="E122" s="14"/>
      <c r="F122" s="14"/>
    </row>
    <row r="123" spans="1:6">
      <c r="A123" s="7">
        <v>121</v>
      </c>
      <c r="B123" s="7">
        <v>121</v>
      </c>
      <c r="C123" t="str">
        <f>VLOOKUP(B123,_Pitch!$A$2:$B$129,2,FALSE)</f>
        <v>C#8</v>
      </c>
      <c r="D123" s="14"/>
      <c r="E123" s="14"/>
      <c r="F123" s="14"/>
    </row>
    <row r="124" spans="1:6">
      <c r="A124" s="7">
        <v>122</v>
      </c>
      <c r="B124" s="7">
        <v>122</v>
      </c>
      <c r="C124" t="str">
        <f>VLOOKUP(B124,_Pitch!$A$2:$B$129,2,FALSE)</f>
        <v>D8</v>
      </c>
      <c r="D124" s="14"/>
      <c r="E124" s="14"/>
      <c r="F124" s="14"/>
    </row>
    <row r="125" spans="1:6">
      <c r="A125" s="7">
        <v>123</v>
      </c>
      <c r="B125" s="7">
        <v>123</v>
      </c>
      <c r="C125" t="str">
        <f>VLOOKUP(B125,_Pitch!$A$2:$B$129,2,FALSE)</f>
        <v>D#8</v>
      </c>
      <c r="D125" s="14"/>
      <c r="E125" s="14"/>
      <c r="F125" s="14"/>
    </row>
    <row r="126" spans="1:6">
      <c r="A126" s="7">
        <v>124</v>
      </c>
      <c r="B126" s="7">
        <v>124</v>
      </c>
      <c r="C126" t="str">
        <f>VLOOKUP(B126,_Pitch!$A$2:$B$129,2,FALSE)</f>
        <v>E8</v>
      </c>
      <c r="D126" s="14"/>
      <c r="E126" s="14"/>
      <c r="F126" s="14"/>
    </row>
    <row r="127" spans="1:6">
      <c r="A127" s="7">
        <v>125</v>
      </c>
      <c r="B127" s="7">
        <v>125</v>
      </c>
      <c r="C127" t="str">
        <f>VLOOKUP(B127,_Pitch!$A$2:$B$129,2,FALSE)</f>
        <v>F8</v>
      </c>
      <c r="D127" s="14"/>
      <c r="E127" s="14"/>
      <c r="F127" s="14"/>
    </row>
    <row r="128" spans="1:6">
      <c r="A128" s="7">
        <v>126</v>
      </c>
      <c r="B128" s="7">
        <v>126</v>
      </c>
      <c r="C128" t="str">
        <f>VLOOKUP(B128,_Pitch!$A$2:$B$129,2,FALSE)</f>
        <v>F#8</v>
      </c>
      <c r="D128" s="14"/>
      <c r="E128" s="14"/>
      <c r="F128" s="14"/>
    </row>
    <row r="129" spans="1:6">
      <c r="A129" s="7">
        <v>127</v>
      </c>
      <c r="B129" s="7">
        <v>127</v>
      </c>
      <c r="C129" t="str">
        <f>VLOOKUP(B129,_Pitch!$A$2:$B$129,2,FALSE)</f>
        <v>G8</v>
      </c>
      <c r="D129" s="14"/>
      <c r="E129" s="14"/>
      <c r="F129" s="14"/>
    </row>
  </sheetData>
  <autoFilter ref="A1:G129" xr:uid="{B6576830-B6E2-4E43-B085-CD873FC7BC82}"/>
  <phoneticPr fontId="1"/>
  <dataValidations count="1">
    <dataValidation type="list" allowBlank="1" showInputMessage="1" showErrorMessage="1" sqref="F2:F129" xr:uid="{F63E3410-86CA-42F2-A0DB-C8AF1551FEE0}">
      <formula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13B9D1B6-A681-419E-87B5-CE108467F989}">
          <x14:formula1>
            <xm:f>_Articulation!$B$2:B$158</xm:f>
          </x14:formula1>
          <xm:sqref>E2:E129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A55F8F-1EBE-48D2-964F-165F2BEA6007}">
  <sheetPr codeName="Sheet5"/>
  <dimension ref="A1:G129"/>
  <sheetViews>
    <sheetView workbookViewId="0">
      <pane ySplit="1" topLeftCell="A2" activePane="bottomLeft" state="frozen"/>
      <selection activeCell="D14" sqref="D14"/>
      <selection pane="bottomLeft" activeCell="D14" sqref="D14"/>
    </sheetView>
  </sheetViews>
  <sheetFormatPr defaultRowHeight="13.5"/>
  <cols>
    <col min="1" max="1" width="4.5" style="7" bestFit="1" customWidth="1"/>
    <col min="2" max="2" width="4.5" bestFit="1" customWidth="1"/>
    <col min="3" max="3" width="5.5" bestFit="1" customWidth="1"/>
    <col min="4" max="4" width="45.625" customWidth="1"/>
    <col min="5" max="5" width="28.25" customWidth="1"/>
    <col min="6" max="6" width="10.25" customWidth="1"/>
  </cols>
  <sheetData>
    <row r="1" spans="1:7" s="6" customFormat="1" ht="141.75" customHeight="1">
      <c r="A1" s="15" t="s">
        <v>130</v>
      </c>
      <c r="B1" s="15" t="s">
        <v>1105</v>
      </c>
      <c r="C1" s="15" t="s">
        <v>1106</v>
      </c>
      <c r="D1" s="16" t="s">
        <v>131</v>
      </c>
      <c r="E1" s="23" t="s">
        <v>132</v>
      </c>
      <c r="F1" s="17" t="s">
        <v>664</v>
      </c>
      <c r="G1" s="15" t="s">
        <v>696</v>
      </c>
    </row>
    <row r="2" spans="1:7">
      <c r="A2" s="7">
        <v>0</v>
      </c>
      <c r="B2" s="7">
        <v>0</v>
      </c>
      <c r="C2" t="str">
        <f>VLOOKUP(B2,_Pitch!$A$2:$B$129,2,FALSE)</f>
        <v>C-2</v>
      </c>
      <c r="D2" s="14"/>
      <c r="E2" s="14"/>
      <c r="F2" s="14"/>
    </row>
    <row r="3" spans="1:7">
      <c r="A3" s="7">
        <v>1</v>
      </c>
      <c r="B3" s="7">
        <v>1</v>
      </c>
      <c r="C3" t="str">
        <f>VLOOKUP(B3,_Pitch!$A$2:$B$129,2,FALSE)</f>
        <v>C#-2</v>
      </c>
      <c r="D3" s="14"/>
      <c r="E3" s="14"/>
      <c r="F3" s="14"/>
    </row>
    <row r="4" spans="1:7">
      <c r="A4" s="7">
        <v>2</v>
      </c>
      <c r="B4" s="7">
        <v>2</v>
      </c>
      <c r="C4" t="str">
        <f>VLOOKUP(B4,_Pitch!$A$2:$B$129,2,FALSE)</f>
        <v>D-2</v>
      </c>
      <c r="D4" s="14"/>
      <c r="E4" s="14"/>
      <c r="F4" s="14"/>
    </row>
    <row r="5" spans="1:7">
      <c r="A5" s="7">
        <v>3</v>
      </c>
      <c r="B5" s="7">
        <v>3</v>
      </c>
      <c r="C5" t="str">
        <f>VLOOKUP(B5,_Pitch!$A$2:$B$129,2,FALSE)</f>
        <v>D#-2</v>
      </c>
      <c r="D5" s="14"/>
      <c r="E5" s="14"/>
      <c r="F5" s="14"/>
    </row>
    <row r="6" spans="1:7">
      <c r="A6" s="7">
        <v>4</v>
      </c>
      <c r="B6" s="7">
        <v>4</v>
      </c>
      <c r="C6" t="str">
        <f>VLOOKUP(B6,_Pitch!$A$2:$B$129,2,FALSE)</f>
        <v>E-2</v>
      </c>
      <c r="D6" s="14"/>
      <c r="E6" s="14"/>
      <c r="F6" s="14"/>
    </row>
    <row r="7" spans="1:7">
      <c r="A7" s="7">
        <v>5</v>
      </c>
      <c r="B7" s="7">
        <v>5</v>
      </c>
      <c r="C7" t="str">
        <f>VLOOKUP(B7,_Pitch!$A$2:$B$129,2,FALSE)</f>
        <v>F-2</v>
      </c>
      <c r="D7" s="14"/>
      <c r="E7" s="14"/>
      <c r="F7" s="14"/>
    </row>
    <row r="8" spans="1:7">
      <c r="A8" s="7">
        <v>6</v>
      </c>
      <c r="B8" s="7">
        <v>6</v>
      </c>
      <c r="C8" t="str">
        <f>VLOOKUP(B8,_Pitch!$A$2:$B$129,2,FALSE)</f>
        <v>F#-2</v>
      </c>
      <c r="D8" s="14"/>
      <c r="E8" s="14"/>
      <c r="F8" s="14"/>
    </row>
    <row r="9" spans="1:7">
      <c r="A9" s="7">
        <v>7</v>
      </c>
      <c r="B9" s="7">
        <v>7</v>
      </c>
      <c r="C9" t="str">
        <f>VLOOKUP(B9,_Pitch!$A$2:$B$129,2,FALSE)</f>
        <v>G-2</v>
      </c>
      <c r="D9" s="14"/>
      <c r="E9" s="14"/>
      <c r="F9" s="14"/>
    </row>
    <row r="10" spans="1:7">
      <c r="A10" s="7">
        <v>8</v>
      </c>
      <c r="B10" s="7">
        <v>8</v>
      </c>
      <c r="C10" t="str">
        <f>VLOOKUP(B10,_Pitch!$A$2:$B$129,2,FALSE)</f>
        <v>G#-2</v>
      </c>
      <c r="D10" s="14"/>
      <c r="E10" s="14"/>
      <c r="F10" s="14"/>
    </row>
    <row r="11" spans="1:7">
      <c r="A11" s="7">
        <v>9</v>
      </c>
      <c r="B11" s="7">
        <v>9</v>
      </c>
      <c r="C11" t="str">
        <f>VLOOKUP(B11,_Pitch!$A$2:$B$129,2,FALSE)</f>
        <v>A-2</v>
      </c>
      <c r="D11" s="14"/>
      <c r="E11" s="14"/>
      <c r="F11" s="14"/>
    </row>
    <row r="12" spans="1:7">
      <c r="A12" s="7">
        <v>10</v>
      </c>
      <c r="B12" s="7">
        <v>10</v>
      </c>
      <c r="C12" t="str">
        <f>VLOOKUP(B12,_Pitch!$A$2:$B$129,2,FALSE)</f>
        <v>A#-2</v>
      </c>
      <c r="D12" s="14"/>
      <c r="E12" s="14"/>
      <c r="F12" s="14"/>
    </row>
    <row r="13" spans="1:7">
      <c r="A13" s="7">
        <v>11</v>
      </c>
      <c r="B13" s="7">
        <v>11</v>
      </c>
      <c r="C13" t="str">
        <f>VLOOKUP(B13,_Pitch!$A$2:$B$129,2,FALSE)</f>
        <v>B-2</v>
      </c>
      <c r="D13" s="14"/>
      <c r="E13" s="14"/>
      <c r="F13" s="14"/>
    </row>
    <row r="14" spans="1:7">
      <c r="A14" s="7">
        <v>12</v>
      </c>
      <c r="B14" s="7">
        <v>12</v>
      </c>
      <c r="C14" t="str">
        <f>VLOOKUP(B14,_Pitch!$A$2:$B$129,2,FALSE)</f>
        <v>C-1</v>
      </c>
      <c r="D14" s="14"/>
      <c r="E14" s="14"/>
      <c r="F14" s="14"/>
    </row>
    <row r="15" spans="1:7">
      <c r="A15" s="7">
        <v>13</v>
      </c>
      <c r="B15" s="7">
        <v>13</v>
      </c>
      <c r="C15" t="str">
        <f>VLOOKUP(B15,_Pitch!$A$2:$B$129,2,FALSE)</f>
        <v>C#-1</v>
      </c>
      <c r="D15" s="14"/>
      <c r="E15" s="14"/>
      <c r="F15" s="14"/>
    </row>
    <row r="16" spans="1:7">
      <c r="A16" s="7">
        <v>14</v>
      </c>
      <c r="B16" s="7">
        <v>14</v>
      </c>
      <c r="C16" t="str">
        <f>VLOOKUP(B16,_Pitch!$A$2:$B$129,2,FALSE)</f>
        <v>D-1</v>
      </c>
      <c r="D16" s="14"/>
      <c r="E16" s="14"/>
      <c r="F16" s="14"/>
    </row>
    <row r="17" spans="1:6">
      <c r="A17" s="7">
        <v>15</v>
      </c>
      <c r="B17" s="7">
        <v>15</v>
      </c>
      <c r="C17" t="str">
        <f>VLOOKUP(B17,_Pitch!$A$2:$B$129,2,FALSE)</f>
        <v>D#-1</v>
      </c>
      <c r="D17" s="14"/>
      <c r="E17" s="14"/>
      <c r="F17" s="14"/>
    </row>
    <row r="18" spans="1:6">
      <c r="A18" s="7">
        <v>16</v>
      </c>
      <c r="B18" s="7">
        <v>16</v>
      </c>
      <c r="C18" t="str">
        <f>VLOOKUP(B18,_Pitch!$A$2:$B$129,2,FALSE)</f>
        <v>E-1</v>
      </c>
      <c r="D18" s="14"/>
      <c r="E18" s="14"/>
      <c r="F18" s="14"/>
    </row>
    <row r="19" spans="1:6">
      <c r="A19" s="7">
        <v>17</v>
      </c>
      <c r="B19" s="7">
        <v>17</v>
      </c>
      <c r="C19" t="str">
        <f>VLOOKUP(B19,_Pitch!$A$2:$B$129,2,FALSE)</f>
        <v>F-1</v>
      </c>
      <c r="D19" s="14"/>
      <c r="E19" s="14"/>
      <c r="F19" s="14"/>
    </row>
    <row r="20" spans="1:6">
      <c r="A20" s="7">
        <v>18</v>
      </c>
      <c r="B20" s="7">
        <v>18</v>
      </c>
      <c r="C20" t="str">
        <f>VLOOKUP(B20,_Pitch!$A$2:$B$129,2,FALSE)</f>
        <v>F#-1</v>
      </c>
      <c r="D20" s="14" t="s">
        <v>343</v>
      </c>
      <c r="E20" s="14"/>
      <c r="F20" s="14"/>
    </row>
    <row r="21" spans="1:6">
      <c r="A21" s="7">
        <v>19</v>
      </c>
      <c r="B21" s="7">
        <v>19</v>
      </c>
      <c r="C21" t="str">
        <f>VLOOKUP(B21,_Pitch!$A$2:$B$129,2,FALSE)</f>
        <v>G-1</v>
      </c>
      <c r="D21" s="14"/>
      <c r="E21" s="14"/>
      <c r="F21" s="14"/>
    </row>
    <row r="22" spans="1:6">
      <c r="A22" s="7">
        <v>20</v>
      </c>
      <c r="B22" s="7">
        <v>20</v>
      </c>
      <c r="C22" t="str">
        <f>VLOOKUP(B22,_Pitch!$A$2:$B$129,2,FALSE)</f>
        <v>G#-1</v>
      </c>
      <c r="D22" s="14" t="s">
        <v>344</v>
      </c>
      <c r="E22" s="14"/>
      <c r="F22" s="14"/>
    </row>
    <row r="23" spans="1:6">
      <c r="A23" s="7">
        <v>21</v>
      </c>
      <c r="B23" s="7">
        <v>21</v>
      </c>
      <c r="C23" t="str">
        <f>VLOOKUP(B23,_Pitch!$A$2:$B$129,2,FALSE)</f>
        <v>A-1</v>
      </c>
      <c r="D23" s="14"/>
      <c r="E23" s="14"/>
      <c r="F23" s="14"/>
    </row>
    <row r="24" spans="1:6">
      <c r="A24" s="7">
        <v>22</v>
      </c>
      <c r="B24" s="7">
        <v>22</v>
      </c>
      <c r="C24" t="str">
        <f>VLOOKUP(B24,_Pitch!$A$2:$B$129,2,FALSE)</f>
        <v>A#-1</v>
      </c>
      <c r="D24" s="14" t="s">
        <v>345</v>
      </c>
      <c r="E24" s="14"/>
      <c r="F24" s="14"/>
    </row>
    <row r="25" spans="1:6">
      <c r="A25" s="7">
        <v>23</v>
      </c>
      <c r="B25" s="7">
        <v>23</v>
      </c>
      <c r="C25" t="str">
        <f>VLOOKUP(B25,_Pitch!$A$2:$B$129,2,FALSE)</f>
        <v>B-1</v>
      </c>
      <c r="D25" s="14"/>
      <c r="E25" s="14"/>
      <c r="F25" s="14"/>
    </row>
    <row r="26" spans="1:6">
      <c r="A26" s="7">
        <v>24</v>
      </c>
      <c r="B26" s="7">
        <v>24</v>
      </c>
      <c r="C26" t="str">
        <f>VLOOKUP(B26,_Pitch!$A$2:$B$129,2,FALSE)</f>
        <v>C0</v>
      </c>
      <c r="D26" s="14" t="s">
        <v>135</v>
      </c>
      <c r="E26" s="14" t="s">
        <v>133</v>
      </c>
      <c r="F26" s="14"/>
    </row>
    <row r="27" spans="1:6">
      <c r="A27" s="7">
        <v>25</v>
      </c>
      <c r="B27" s="7">
        <v>25</v>
      </c>
      <c r="C27" t="str">
        <f>VLOOKUP(B27,_Pitch!$A$2:$B$129,2,FALSE)</f>
        <v>C#0</v>
      </c>
      <c r="D27" s="14" t="s">
        <v>346</v>
      </c>
      <c r="E27" s="14" t="s">
        <v>145</v>
      </c>
      <c r="F27" s="14"/>
    </row>
    <row r="28" spans="1:6">
      <c r="A28" s="7">
        <v>26</v>
      </c>
      <c r="B28" s="7">
        <v>26</v>
      </c>
      <c r="C28" t="str">
        <f>VLOOKUP(B28,_Pitch!$A$2:$B$129,2,FALSE)</f>
        <v>D0</v>
      </c>
      <c r="D28" s="14" t="s">
        <v>347</v>
      </c>
      <c r="E28" s="14" t="s">
        <v>233</v>
      </c>
      <c r="F28" s="14"/>
    </row>
    <row r="29" spans="1:6">
      <c r="A29" s="7">
        <v>27</v>
      </c>
      <c r="B29" s="7">
        <v>27</v>
      </c>
      <c r="C29" t="str">
        <f>VLOOKUP(B29,_Pitch!$A$2:$B$129,2,FALSE)</f>
        <v>D#0</v>
      </c>
      <c r="D29" s="14" t="s">
        <v>659</v>
      </c>
      <c r="E29" s="14" t="s">
        <v>565</v>
      </c>
      <c r="F29" s="14"/>
    </row>
    <row r="30" spans="1:6">
      <c r="A30" s="7">
        <v>28</v>
      </c>
      <c r="B30" s="7">
        <v>28</v>
      </c>
      <c r="C30" t="str">
        <f>VLOOKUP(B30,_Pitch!$A$2:$B$129,2,FALSE)</f>
        <v>E0</v>
      </c>
      <c r="D30" s="14" t="s">
        <v>348</v>
      </c>
      <c r="E30" s="14" t="s">
        <v>138</v>
      </c>
      <c r="F30" s="14"/>
    </row>
    <row r="31" spans="1:6">
      <c r="A31" s="7">
        <v>29</v>
      </c>
      <c r="B31" s="7">
        <v>29</v>
      </c>
      <c r="C31" t="str">
        <f>VLOOKUP(B31,_Pitch!$A$2:$B$129,2,FALSE)</f>
        <v>F0</v>
      </c>
      <c r="D31" s="14" t="s">
        <v>349</v>
      </c>
      <c r="E31" s="14" t="s">
        <v>1077</v>
      </c>
      <c r="F31" s="14"/>
    </row>
    <row r="32" spans="1:6">
      <c r="A32" s="7">
        <v>30</v>
      </c>
      <c r="B32" s="7">
        <v>30</v>
      </c>
      <c r="C32" t="str">
        <f>VLOOKUP(B32,_Pitch!$A$2:$B$129,2,FALSE)</f>
        <v>F#0</v>
      </c>
      <c r="D32" s="14" t="s">
        <v>350</v>
      </c>
      <c r="E32" s="14" t="s">
        <v>153</v>
      </c>
      <c r="F32" s="14"/>
    </row>
    <row r="33" spans="1:6">
      <c r="A33" s="7">
        <v>31</v>
      </c>
      <c r="B33" s="7">
        <v>31</v>
      </c>
      <c r="C33" t="str">
        <f>VLOOKUP(B33,_Pitch!$A$2:$B$129,2,FALSE)</f>
        <v>G0</v>
      </c>
      <c r="D33" s="14" t="s">
        <v>351</v>
      </c>
      <c r="E33" s="14" t="s">
        <v>241</v>
      </c>
      <c r="F33" s="14"/>
    </row>
    <row r="34" spans="1:6">
      <c r="A34" s="7">
        <v>32</v>
      </c>
      <c r="B34" s="7">
        <v>32</v>
      </c>
      <c r="C34" t="str">
        <f>VLOOKUP(B34,_Pitch!$A$2:$B$129,2,FALSE)</f>
        <v>G#0</v>
      </c>
      <c r="D34" s="14" t="s">
        <v>352</v>
      </c>
      <c r="E34" s="14" t="s">
        <v>1068</v>
      </c>
      <c r="F34" s="14"/>
    </row>
    <row r="35" spans="1:6">
      <c r="A35" s="7">
        <v>33</v>
      </c>
      <c r="B35" s="7">
        <v>33</v>
      </c>
      <c r="C35" t="str">
        <f>VLOOKUP(B35,_Pitch!$A$2:$B$129,2,FALSE)</f>
        <v>A0</v>
      </c>
      <c r="D35" s="14" t="s">
        <v>353</v>
      </c>
      <c r="E35" s="14" t="s">
        <v>242</v>
      </c>
      <c r="F35" s="14"/>
    </row>
    <row r="36" spans="1:6">
      <c r="A36" s="7">
        <v>34</v>
      </c>
      <c r="B36" s="7">
        <v>34</v>
      </c>
      <c r="C36" t="str">
        <f>VLOOKUP(B36,_Pitch!$A$2:$B$129,2,FALSE)</f>
        <v>A#0</v>
      </c>
      <c r="D36" s="14" t="s">
        <v>354</v>
      </c>
      <c r="E36" s="14" t="s">
        <v>168</v>
      </c>
      <c r="F36" s="14"/>
    </row>
    <row r="37" spans="1:6">
      <c r="A37" s="7">
        <v>35</v>
      </c>
      <c r="B37" s="7">
        <v>35</v>
      </c>
      <c r="C37" t="str">
        <f>VLOOKUP(B37,_Pitch!$A$2:$B$129,2,FALSE)</f>
        <v>B0</v>
      </c>
      <c r="D37" s="14" t="s">
        <v>355</v>
      </c>
      <c r="E37" s="14" t="s">
        <v>559</v>
      </c>
      <c r="F37" s="14"/>
    </row>
    <row r="38" spans="1:6">
      <c r="A38" s="7">
        <v>36</v>
      </c>
      <c r="B38" s="7">
        <v>36</v>
      </c>
      <c r="C38" t="str">
        <f>VLOOKUP(B38,_Pitch!$A$2:$B$129,2,FALSE)</f>
        <v>C1</v>
      </c>
      <c r="D38" s="14" t="s">
        <v>356</v>
      </c>
      <c r="E38" s="14" t="s">
        <v>240</v>
      </c>
      <c r="F38" s="14"/>
    </row>
    <row r="39" spans="1:6">
      <c r="A39" s="7">
        <v>37</v>
      </c>
      <c r="B39" s="7">
        <v>37</v>
      </c>
      <c r="C39" t="str">
        <f>VLOOKUP(B39,_Pitch!$A$2:$B$129,2,FALSE)</f>
        <v>C#1</v>
      </c>
      <c r="D39" s="14" t="s">
        <v>357</v>
      </c>
      <c r="E39" s="14" t="s">
        <v>149</v>
      </c>
      <c r="F39" s="14"/>
    </row>
    <row r="40" spans="1:6">
      <c r="A40" s="7">
        <v>38</v>
      </c>
      <c r="B40" s="7">
        <v>38</v>
      </c>
      <c r="C40" t="str">
        <f>VLOOKUP(B40,_Pitch!$A$2:$B$129,2,FALSE)</f>
        <v>D1</v>
      </c>
      <c r="D40" s="14" t="s">
        <v>358</v>
      </c>
      <c r="E40" s="14" t="s">
        <v>560</v>
      </c>
      <c r="F40" s="14"/>
    </row>
    <row r="41" spans="1:6">
      <c r="A41" s="7">
        <v>39</v>
      </c>
      <c r="B41" s="7">
        <v>39</v>
      </c>
      <c r="C41" t="str">
        <f>VLOOKUP(B41,_Pitch!$A$2:$B$129,2,FALSE)</f>
        <v>D#1</v>
      </c>
      <c r="D41" s="14" t="s">
        <v>359</v>
      </c>
      <c r="E41" s="14" t="s">
        <v>162</v>
      </c>
      <c r="F41" s="14"/>
    </row>
    <row r="42" spans="1:6">
      <c r="A42" s="7">
        <v>40</v>
      </c>
      <c r="B42" s="7">
        <v>40</v>
      </c>
      <c r="C42" t="str">
        <f>VLOOKUP(B42,_Pitch!$A$2:$B$129,2,FALSE)</f>
        <v>E1</v>
      </c>
      <c r="D42" s="14" t="s">
        <v>360</v>
      </c>
      <c r="E42" s="14" t="s">
        <v>239</v>
      </c>
      <c r="F42" s="14"/>
    </row>
    <row r="43" spans="1:6">
      <c r="A43" s="7">
        <v>41</v>
      </c>
      <c r="B43" s="7">
        <v>41</v>
      </c>
      <c r="C43" t="str">
        <f>VLOOKUP(B43,_Pitch!$A$2:$B$129,2,FALSE)</f>
        <v>F1</v>
      </c>
      <c r="D43" s="14" t="s">
        <v>361</v>
      </c>
      <c r="E43" s="14" t="s">
        <v>568</v>
      </c>
      <c r="F43" s="14"/>
    </row>
    <row r="44" spans="1:6">
      <c r="A44" s="7">
        <v>42</v>
      </c>
      <c r="B44" s="7">
        <v>42</v>
      </c>
      <c r="C44" t="str">
        <f>VLOOKUP(B44,_Pitch!$A$2:$B$129,2,FALSE)</f>
        <v>F#1</v>
      </c>
      <c r="D44" s="14" t="s">
        <v>362</v>
      </c>
      <c r="E44" s="14" t="s">
        <v>165</v>
      </c>
      <c r="F44" s="14"/>
    </row>
    <row r="45" spans="1:6">
      <c r="A45" s="7">
        <v>43</v>
      </c>
      <c r="B45" s="7">
        <v>43</v>
      </c>
      <c r="C45" t="str">
        <f>VLOOKUP(B45,_Pitch!$A$2:$B$129,2,FALSE)</f>
        <v>G1</v>
      </c>
      <c r="D45" s="14" t="s">
        <v>363</v>
      </c>
      <c r="E45" s="14" t="s">
        <v>937</v>
      </c>
      <c r="F45" s="14"/>
    </row>
    <row r="46" spans="1:6">
      <c r="A46" s="7">
        <v>44</v>
      </c>
      <c r="B46" s="7">
        <v>44</v>
      </c>
      <c r="C46" t="str">
        <f>VLOOKUP(B46,_Pitch!$A$2:$B$129,2,FALSE)</f>
        <v>G#1</v>
      </c>
      <c r="D46" s="14" t="s">
        <v>364</v>
      </c>
      <c r="E46" s="14" t="s">
        <v>159</v>
      </c>
      <c r="F46" s="14"/>
    </row>
    <row r="47" spans="1:6">
      <c r="A47" s="7">
        <v>45</v>
      </c>
      <c r="B47" s="7">
        <v>45</v>
      </c>
      <c r="C47" t="str">
        <f>VLOOKUP(B47,_Pitch!$A$2:$B$129,2,FALSE)</f>
        <v>A1</v>
      </c>
      <c r="D47" s="14" t="s">
        <v>361</v>
      </c>
      <c r="E47" s="14" t="s">
        <v>569</v>
      </c>
      <c r="F47" s="14"/>
    </row>
    <row r="48" spans="1:6">
      <c r="A48" s="7">
        <v>46</v>
      </c>
      <c r="B48" s="7">
        <v>46</v>
      </c>
      <c r="C48" t="str">
        <f>VLOOKUP(B48,_Pitch!$A$2:$B$129,2,FALSE)</f>
        <v>A#1</v>
      </c>
      <c r="D48" s="14" t="s">
        <v>365</v>
      </c>
      <c r="E48" s="14" t="s">
        <v>166</v>
      </c>
      <c r="F48" s="14"/>
    </row>
    <row r="49" spans="1:6">
      <c r="A49" s="7">
        <v>47</v>
      </c>
      <c r="B49" s="7">
        <v>47</v>
      </c>
      <c r="C49" t="str">
        <f>VLOOKUP(B49,_Pitch!$A$2:$B$129,2,FALSE)</f>
        <v>B1</v>
      </c>
      <c r="D49" s="14" t="s">
        <v>363</v>
      </c>
      <c r="E49" s="14" t="s">
        <v>905</v>
      </c>
      <c r="F49" s="14"/>
    </row>
    <row r="50" spans="1:6">
      <c r="A50" s="7">
        <v>48</v>
      </c>
      <c r="B50" s="7">
        <v>48</v>
      </c>
      <c r="C50" t="str">
        <f>VLOOKUP(B50,_Pitch!$A$2:$B$129,2,FALSE)</f>
        <v>C2</v>
      </c>
      <c r="D50" s="14" t="s">
        <v>952</v>
      </c>
      <c r="E50" s="14" t="s">
        <v>904</v>
      </c>
      <c r="F50" s="14"/>
    </row>
    <row r="51" spans="1:6">
      <c r="A51" s="7">
        <v>49</v>
      </c>
      <c r="B51" s="7">
        <v>49</v>
      </c>
      <c r="C51" t="str">
        <f>VLOOKUP(B51,_Pitch!$A$2:$B$129,2,FALSE)</f>
        <v>C#2</v>
      </c>
      <c r="D51" s="14" t="s">
        <v>366</v>
      </c>
      <c r="E51" s="14" t="s">
        <v>160</v>
      </c>
      <c r="F51" s="14"/>
    </row>
    <row r="52" spans="1:6">
      <c r="A52" s="7">
        <v>50</v>
      </c>
      <c r="B52" s="7">
        <v>50</v>
      </c>
      <c r="C52" t="str">
        <f>VLOOKUP(B52,_Pitch!$A$2:$B$129,2,FALSE)</f>
        <v>D2</v>
      </c>
      <c r="D52" s="14" t="s">
        <v>182</v>
      </c>
      <c r="E52" s="14" t="s">
        <v>179</v>
      </c>
      <c r="F52" s="14"/>
    </row>
    <row r="53" spans="1:6">
      <c r="A53" s="7">
        <v>51</v>
      </c>
      <c r="B53" s="7">
        <v>51</v>
      </c>
      <c r="C53" t="str">
        <f>VLOOKUP(B53,_Pitch!$A$2:$B$129,2,FALSE)</f>
        <v>D#2</v>
      </c>
      <c r="D53" s="14" t="s">
        <v>367</v>
      </c>
      <c r="E53" s="14" t="s">
        <v>167</v>
      </c>
      <c r="F53" s="14"/>
    </row>
    <row r="54" spans="1:6">
      <c r="A54" s="7">
        <v>52</v>
      </c>
      <c r="B54" s="7">
        <v>52</v>
      </c>
      <c r="C54" t="str">
        <f>VLOOKUP(B54,_Pitch!$A$2:$B$129,2,FALSE)</f>
        <v>E2</v>
      </c>
      <c r="D54" s="14" t="s">
        <v>368</v>
      </c>
      <c r="E54" s="14" t="s">
        <v>206</v>
      </c>
      <c r="F54" s="14"/>
    </row>
    <row r="55" spans="1:6">
      <c r="A55" s="7">
        <v>53</v>
      </c>
      <c r="B55" s="7">
        <v>53</v>
      </c>
      <c r="C55" t="str">
        <f>VLOOKUP(B55,_Pitch!$A$2:$B$129,2,FALSE)</f>
        <v>F2</v>
      </c>
      <c r="D55" s="14" t="s">
        <v>369</v>
      </c>
      <c r="E55" s="14" t="s">
        <v>423</v>
      </c>
      <c r="F55" s="14"/>
    </row>
    <row r="56" spans="1:6">
      <c r="A56" s="7">
        <v>54</v>
      </c>
      <c r="B56" s="7">
        <v>54</v>
      </c>
      <c r="C56" t="str">
        <f>VLOOKUP(B56,_Pitch!$A$2:$B$129,2,FALSE)</f>
        <v>F#2</v>
      </c>
      <c r="D56" s="14" t="s">
        <v>370</v>
      </c>
      <c r="E56" s="14" t="s">
        <v>161</v>
      </c>
      <c r="F56" s="14"/>
    </row>
    <row r="57" spans="1:6">
      <c r="A57" s="7">
        <v>55</v>
      </c>
      <c r="B57" s="7">
        <v>55</v>
      </c>
      <c r="C57" t="str">
        <f>VLOOKUP(B57,_Pitch!$A$2:$B$129,2,FALSE)</f>
        <v>G2</v>
      </c>
      <c r="D57" s="14" t="s">
        <v>368</v>
      </c>
      <c r="E57" s="14" t="s">
        <v>212</v>
      </c>
      <c r="F57" s="14"/>
    </row>
    <row r="58" spans="1:6">
      <c r="A58" s="7">
        <v>56</v>
      </c>
      <c r="B58" s="7">
        <v>56</v>
      </c>
      <c r="C58" t="str">
        <f>VLOOKUP(B58,_Pitch!$A$2:$B$129,2,FALSE)</f>
        <v>G#2</v>
      </c>
      <c r="D58" s="14" t="s">
        <v>371</v>
      </c>
      <c r="E58" s="14" t="s">
        <v>794</v>
      </c>
      <c r="F58" s="14"/>
    </row>
    <row r="59" spans="1:6">
      <c r="A59" s="7">
        <v>57</v>
      </c>
      <c r="B59" s="7">
        <v>57</v>
      </c>
      <c r="C59" t="str">
        <f>VLOOKUP(B59,_Pitch!$A$2:$B$129,2,FALSE)</f>
        <v>A2</v>
      </c>
      <c r="D59" s="14" t="s">
        <v>369</v>
      </c>
      <c r="E59" s="14" t="s">
        <v>915</v>
      </c>
      <c r="F59" s="14"/>
    </row>
    <row r="60" spans="1:6">
      <c r="A60" s="7">
        <v>58</v>
      </c>
      <c r="B60" s="7">
        <v>58</v>
      </c>
      <c r="C60" t="str">
        <f>VLOOKUP(B60,_Pitch!$A$2:$B$129,2,FALSE)</f>
        <v>A#2</v>
      </c>
      <c r="D60" s="14" t="s">
        <v>372</v>
      </c>
      <c r="E60" s="14" t="s">
        <v>155</v>
      </c>
      <c r="F60" s="14"/>
    </row>
    <row r="61" spans="1:6">
      <c r="A61" s="7">
        <v>59</v>
      </c>
      <c r="B61" s="7">
        <v>59</v>
      </c>
      <c r="C61" t="str">
        <f>VLOOKUP(B61,_Pitch!$A$2:$B$129,2,FALSE)</f>
        <v>B2</v>
      </c>
      <c r="D61" s="14" t="s">
        <v>406</v>
      </c>
      <c r="E61" s="14" t="s">
        <v>910</v>
      </c>
      <c r="F61" s="14"/>
    </row>
    <row r="62" spans="1:6">
      <c r="A62" s="7">
        <v>60</v>
      </c>
      <c r="B62" s="7">
        <v>60</v>
      </c>
      <c r="C62" t="str">
        <f>VLOOKUP(B62,_Pitch!$A$2:$B$129,2,FALSE)</f>
        <v>C3</v>
      </c>
      <c r="D62" s="14" t="s">
        <v>373</v>
      </c>
      <c r="E62" s="14" t="s">
        <v>175</v>
      </c>
      <c r="F62" s="14"/>
    </row>
    <row r="63" spans="1:6">
      <c r="A63" s="7">
        <v>61</v>
      </c>
      <c r="B63" s="7">
        <v>61</v>
      </c>
      <c r="C63" t="str">
        <f>VLOOKUP(B63,_Pitch!$A$2:$B$129,2,FALSE)</f>
        <v>C#3</v>
      </c>
      <c r="D63" s="14" t="s">
        <v>374</v>
      </c>
      <c r="E63" s="14" t="s">
        <v>198</v>
      </c>
      <c r="F63" s="14"/>
    </row>
    <row r="64" spans="1:6">
      <c r="A64" s="7">
        <v>62</v>
      </c>
      <c r="B64" s="7">
        <v>62</v>
      </c>
      <c r="C64" t="str">
        <f>VLOOKUP(B64,_Pitch!$A$2:$B$129,2,FALSE)</f>
        <v>D3</v>
      </c>
      <c r="D64" s="14" t="s">
        <v>375</v>
      </c>
      <c r="E64" s="14" t="s">
        <v>209</v>
      </c>
      <c r="F64" s="14"/>
    </row>
    <row r="65" spans="1:6">
      <c r="A65" s="7">
        <v>63</v>
      </c>
      <c r="B65" s="7">
        <v>63</v>
      </c>
      <c r="C65" t="str">
        <f>VLOOKUP(B65,_Pitch!$A$2:$B$129,2,FALSE)</f>
        <v>D#3</v>
      </c>
      <c r="D65" s="14" t="s">
        <v>376</v>
      </c>
      <c r="E65" s="14" t="s">
        <v>203</v>
      </c>
      <c r="F65" s="14"/>
    </row>
    <row r="66" spans="1:6">
      <c r="A66" s="7">
        <v>64</v>
      </c>
      <c r="B66" s="7">
        <v>64</v>
      </c>
      <c r="C66" t="str">
        <f>VLOOKUP(B66,_Pitch!$A$2:$B$129,2,FALSE)</f>
        <v>E3</v>
      </c>
      <c r="D66" s="14" t="s">
        <v>377</v>
      </c>
      <c r="E66" s="14" t="s">
        <v>463</v>
      </c>
      <c r="F66" s="14"/>
    </row>
    <row r="67" spans="1:6">
      <c r="A67" s="7">
        <v>65</v>
      </c>
      <c r="B67" s="7">
        <v>65</v>
      </c>
      <c r="C67" t="str">
        <f>VLOOKUP(B67,_Pitch!$A$2:$B$129,2,FALSE)</f>
        <v>F3</v>
      </c>
      <c r="D67" s="14" t="s">
        <v>375</v>
      </c>
      <c r="E67" s="14" t="s">
        <v>215</v>
      </c>
      <c r="F67" s="14"/>
    </row>
    <row r="68" spans="1:6">
      <c r="A68" s="7">
        <v>66</v>
      </c>
      <c r="B68" s="7">
        <v>66</v>
      </c>
      <c r="C68" t="str">
        <f>VLOOKUP(B68,_Pitch!$A$2:$B$129,2,FALSE)</f>
        <v>F#3</v>
      </c>
      <c r="D68" s="14" t="s">
        <v>378</v>
      </c>
      <c r="E68" s="14" t="s">
        <v>191</v>
      </c>
      <c r="F68" s="14"/>
    </row>
    <row r="69" spans="1:6">
      <c r="A69" s="7">
        <v>67</v>
      </c>
      <c r="B69" s="7">
        <v>67</v>
      </c>
      <c r="C69" t="str">
        <f>VLOOKUP(B69,_Pitch!$A$2:$B$129,2,FALSE)</f>
        <v>G3</v>
      </c>
      <c r="D69" s="14" t="s">
        <v>377</v>
      </c>
      <c r="E69" s="14" t="s">
        <v>918</v>
      </c>
      <c r="F69" s="14"/>
    </row>
    <row r="70" spans="1:6">
      <c r="A70" s="7">
        <v>68</v>
      </c>
      <c r="B70" s="7">
        <v>68</v>
      </c>
      <c r="C70" t="str">
        <f>VLOOKUP(B70,_Pitch!$A$2:$B$129,2,FALSE)</f>
        <v>G#3</v>
      </c>
      <c r="D70" s="14" t="s">
        <v>379</v>
      </c>
      <c r="E70" s="14" t="s">
        <v>195</v>
      </c>
      <c r="F70" s="14"/>
    </row>
    <row r="71" spans="1:6">
      <c r="A71" s="7">
        <v>69</v>
      </c>
      <c r="B71" s="7">
        <v>69</v>
      </c>
      <c r="C71" t="str">
        <f>VLOOKUP(B71,_Pitch!$A$2:$B$129,2,FALSE)</f>
        <v>A3</v>
      </c>
      <c r="D71" s="14" t="s">
        <v>953</v>
      </c>
      <c r="E71" s="14" t="s">
        <v>913</v>
      </c>
      <c r="F71" s="14"/>
    </row>
    <row r="72" spans="1:6">
      <c r="A72" s="7">
        <v>70</v>
      </c>
      <c r="B72" s="7">
        <v>70</v>
      </c>
      <c r="C72" t="str">
        <f>VLOOKUP(B72,_Pitch!$A$2:$B$129,2,FALSE)</f>
        <v>A#3</v>
      </c>
      <c r="D72" s="14" t="s">
        <v>380</v>
      </c>
      <c r="E72" s="14" t="s">
        <v>189</v>
      </c>
      <c r="F72" s="14"/>
    </row>
    <row r="73" spans="1:6">
      <c r="A73" s="7">
        <v>71</v>
      </c>
      <c r="B73" s="7">
        <v>71</v>
      </c>
      <c r="C73" t="str">
        <f>VLOOKUP(B73,_Pitch!$A$2:$B$129,2,FALSE)</f>
        <v>B3</v>
      </c>
      <c r="D73" s="14" t="s">
        <v>318</v>
      </c>
      <c r="E73" s="14" t="s">
        <v>181</v>
      </c>
      <c r="F73" s="14"/>
    </row>
    <row r="74" spans="1:6">
      <c r="A74" s="7">
        <v>72</v>
      </c>
      <c r="B74" s="7">
        <v>72</v>
      </c>
      <c r="C74" t="str">
        <f>VLOOKUP(B74,_Pitch!$A$2:$B$129,2,FALSE)</f>
        <v>C4</v>
      </c>
      <c r="D74" s="14" t="s">
        <v>381</v>
      </c>
      <c r="E74" s="14" t="s">
        <v>568</v>
      </c>
      <c r="F74" s="14" t="s">
        <v>290</v>
      </c>
    </row>
    <row r="75" spans="1:6">
      <c r="A75" s="7">
        <v>73</v>
      </c>
      <c r="B75" s="7">
        <v>73</v>
      </c>
      <c r="C75" t="str">
        <f>VLOOKUP(B75,_Pitch!$A$2:$B$129,2,FALSE)</f>
        <v>C#4</v>
      </c>
      <c r="D75" s="14" t="s">
        <v>382</v>
      </c>
      <c r="E75" s="14" t="s">
        <v>193</v>
      </c>
      <c r="F75" s="14"/>
    </row>
    <row r="76" spans="1:6">
      <c r="A76" s="7">
        <v>74</v>
      </c>
      <c r="B76" s="7">
        <v>74</v>
      </c>
      <c r="C76" t="str">
        <f>VLOOKUP(B76,_Pitch!$A$2:$B$129,2,FALSE)</f>
        <v>D4</v>
      </c>
      <c r="D76" s="14" t="s">
        <v>383</v>
      </c>
      <c r="E76" s="14" t="s">
        <v>937</v>
      </c>
      <c r="F76" s="14" t="s">
        <v>290</v>
      </c>
    </row>
    <row r="77" spans="1:6">
      <c r="A77" s="7">
        <v>75</v>
      </c>
      <c r="B77" s="7">
        <v>75</v>
      </c>
      <c r="C77" t="str">
        <f>VLOOKUP(B77,_Pitch!$A$2:$B$129,2,FALSE)</f>
        <v>D#4</v>
      </c>
      <c r="D77" s="14" t="s">
        <v>384</v>
      </c>
      <c r="E77" s="14" t="s">
        <v>210</v>
      </c>
      <c r="F77" s="14"/>
    </row>
    <row r="78" spans="1:6">
      <c r="A78" s="7">
        <v>76</v>
      </c>
      <c r="B78" s="7">
        <v>76</v>
      </c>
      <c r="C78" t="str">
        <f>VLOOKUP(B78,_Pitch!$A$2:$B$129,2,FALSE)</f>
        <v>E4</v>
      </c>
      <c r="D78" s="14" t="s">
        <v>381</v>
      </c>
      <c r="E78" s="14" t="s">
        <v>569</v>
      </c>
      <c r="F78" s="14" t="s">
        <v>290</v>
      </c>
    </row>
    <row r="79" spans="1:6">
      <c r="A79" s="7">
        <v>77</v>
      </c>
      <c r="B79" s="7">
        <v>77</v>
      </c>
      <c r="C79" t="str">
        <f>VLOOKUP(B79,_Pitch!$A$2:$B$129,2,FALSE)</f>
        <v>F4</v>
      </c>
      <c r="D79" s="14" t="s">
        <v>383</v>
      </c>
      <c r="E79" s="14" t="s">
        <v>905</v>
      </c>
      <c r="F79" s="14" t="s">
        <v>290</v>
      </c>
    </row>
    <row r="80" spans="1:6">
      <c r="A80" s="7">
        <v>78</v>
      </c>
      <c r="B80" s="7">
        <v>78</v>
      </c>
      <c r="C80" t="str">
        <f>VLOOKUP(B80,_Pitch!$A$2:$B$129,2,FALSE)</f>
        <v>F#4</v>
      </c>
      <c r="D80" s="14" t="s">
        <v>385</v>
      </c>
      <c r="E80" s="14" t="s">
        <v>384</v>
      </c>
      <c r="F80" s="14"/>
    </row>
    <row r="81" spans="1:6">
      <c r="A81" s="7">
        <v>79</v>
      </c>
      <c r="B81" s="7">
        <v>79</v>
      </c>
      <c r="C81" t="str">
        <f>VLOOKUP(B81,_Pitch!$A$2:$B$129,2,FALSE)</f>
        <v>G4</v>
      </c>
      <c r="D81" s="14" t="s">
        <v>954</v>
      </c>
      <c r="E81" s="14" t="s">
        <v>904</v>
      </c>
      <c r="F81" s="14" t="s">
        <v>290</v>
      </c>
    </row>
    <row r="82" spans="1:6">
      <c r="A82" s="7">
        <v>80</v>
      </c>
      <c r="B82" s="7">
        <v>80</v>
      </c>
      <c r="C82" t="str">
        <f>VLOOKUP(B82,_Pitch!$A$2:$B$129,2,FALSE)</f>
        <v>G#4</v>
      </c>
      <c r="D82" s="14" t="s">
        <v>384</v>
      </c>
      <c r="E82" s="14" t="s">
        <v>216</v>
      </c>
      <c r="F82" s="14"/>
    </row>
    <row r="83" spans="1:6">
      <c r="A83" s="7">
        <v>81</v>
      </c>
      <c r="B83" s="7">
        <v>81</v>
      </c>
      <c r="C83" t="str">
        <f>VLOOKUP(B83,_Pitch!$A$2:$B$129,2,FALSE)</f>
        <v>A4</v>
      </c>
      <c r="D83" s="14" t="s">
        <v>386</v>
      </c>
      <c r="E83" s="14" t="s">
        <v>180</v>
      </c>
      <c r="F83" s="14"/>
    </row>
    <row r="84" spans="1:6">
      <c r="A84" s="7">
        <v>82</v>
      </c>
      <c r="B84" s="7">
        <v>82</v>
      </c>
      <c r="C84" t="str">
        <f>VLOOKUP(B84,_Pitch!$A$2:$B$129,2,FALSE)</f>
        <v>A#4</v>
      </c>
      <c r="D84" s="14" t="s">
        <v>385</v>
      </c>
      <c r="E84" s="14" t="s">
        <v>919</v>
      </c>
      <c r="F84" s="14"/>
    </row>
    <row r="85" spans="1:6">
      <c r="A85" s="7">
        <v>83</v>
      </c>
      <c r="B85" s="7">
        <v>83</v>
      </c>
      <c r="C85" t="str">
        <f>VLOOKUP(B85,_Pitch!$A$2:$B$129,2,FALSE)</f>
        <v>B4</v>
      </c>
      <c r="D85" s="14" t="s">
        <v>387</v>
      </c>
      <c r="E85" s="14"/>
      <c r="F85" s="14"/>
    </row>
    <row r="86" spans="1:6">
      <c r="A86" s="7">
        <v>84</v>
      </c>
      <c r="B86" s="7">
        <v>84</v>
      </c>
      <c r="C86" t="str">
        <f>VLOOKUP(B86,_Pitch!$A$2:$B$129,2,FALSE)</f>
        <v>C5</v>
      </c>
      <c r="D86" s="14" t="s">
        <v>388</v>
      </c>
      <c r="E86" s="14" t="s">
        <v>135</v>
      </c>
      <c r="F86" s="14"/>
    </row>
    <row r="87" spans="1:6">
      <c r="A87" s="7">
        <v>85</v>
      </c>
      <c r="B87" s="7">
        <v>85</v>
      </c>
      <c r="C87" t="str">
        <f>VLOOKUP(B87,_Pitch!$A$2:$B$129,2,FALSE)</f>
        <v>C#5</v>
      </c>
      <c r="D87" s="14" t="s">
        <v>951</v>
      </c>
      <c r="E87" s="14" t="s">
        <v>914</v>
      </c>
      <c r="F87" s="14"/>
    </row>
    <row r="88" spans="1:6">
      <c r="A88" s="7">
        <v>86</v>
      </c>
      <c r="B88" s="7">
        <v>86</v>
      </c>
      <c r="C88" t="str">
        <f>VLOOKUP(B88,_Pitch!$A$2:$B$129,2,FALSE)</f>
        <v>D5</v>
      </c>
      <c r="D88" s="14" t="s">
        <v>140</v>
      </c>
      <c r="E88" s="14" t="s">
        <v>140</v>
      </c>
      <c r="F88" s="14" t="s">
        <v>567</v>
      </c>
    </row>
    <row r="89" spans="1:6">
      <c r="A89" s="7">
        <v>87</v>
      </c>
      <c r="B89" s="7">
        <v>87</v>
      </c>
      <c r="C89" t="str">
        <f>VLOOKUP(B89,_Pitch!$A$2:$B$129,2,FALSE)</f>
        <v>D#5</v>
      </c>
      <c r="D89" s="14" t="s">
        <v>183</v>
      </c>
      <c r="E89" s="14" t="s">
        <v>183</v>
      </c>
      <c r="F89" s="14"/>
    </row>
    <row r="90" spans="1:6">
      <c r="A90" s="7">
        <v>88</v>
      </c>
      <c r="B90" s="7">
        <v>88</v>
      </c>
      <c r="C90" t="str">
        <f>VLOOKUP(B90,_Pitch!$A$2:$B$129,2,FALSE)</f>
        <v>E5</v>
      </c>
      <c r="D90" s="14" t="s">
        <v>389</v>
      </c>
      <c r="E90" s="14" t="s">
        <v>144</v>
      </c>
      <c r="F90" s="14" t="s">
        <v>663</v>
      </c>
    </row>
    <row r="91" spans="1:6">
      <c r="A91" s="7">
        <v>89</v>
      </c>
      <c r="B91" s="7">
        <v>89</v>
      </c>
      <c r="C91" t="str">
        <f>VLOOKUP(B91,_Pitch!$A$2:$B$129,2,FALSE)</f>
        <v>F5</v>
      </c>
      <c r="D91" s="14" t="s">
        <v>390</v>
      </c>
      <c r="E91" s="14" t="s">
        <v>199</v>
      </c>
      <c r="F91" s="14" t="s">
        <v>663</v>
      </c>
    </row>
    <row r="92" spans="1:6">
      <c r="A92" s="7">
        <v>90</v>
      </c>
      <c r="B92" s="7">
        <v>90</v>
      </c>
      <c r="C92" t="str">
        <f>VLOOKUP(B92,_Pitch!$A$2:$B$129,2,FALSE)</f>
        <v>F#5</v>
      </c>
      <c r="D92" s="14" t="s">
        <v>391</v>
      </c>
      <c r="E92" s="14" t="s">
        <v>204</v>
      </c>
      <c r="F92" s="14" t="s">
        <v>663</v>
      </c>
    </row>
    <row r="93" spans="1:6">
      <c r="A93" s="7">
        <v>91</v>
      </c>
      <c r="B93" s="7">
        <v>91</v>
      </c>
      <c r="C93" t="str">
        <f>VLOOKUP(B93,_Pitch!$A$2:$B$129,2,FALSE)</f>
        <v>G5</v>
      </c>
      <c r="D93" s="14" t="s">
        <v>392</v>
      </c>
      <c r="E93" s="14" t="s">
        <v>1003</v>
      </c>
      <c r="F93" s="14" t="s">
        <v>663</v>
      </c>
    </row>
    <row r="94" spans="1:6">
      <c r="A94" s="7">
        <v>92</v>
      </c>
      <c r="B94" s="7">
        <v>92</v>
      </c>
      <c r="C94" t="str">
        <f>VLOOKUP(B94,_Pitch!$A$2:$B$129,2,FALSE)</f>
        <v>G#5</v>
      </c>
      <c r="D94" s="14" t="s">
        <v>393</v>
      </c>
      <c r="E94" s="14" t="s">
        <v>1011</v>
      </c>
      <c r="F94" s="14" t="s">
        <v>663</v>
      </c>
    </row>
    <row r="95" spans="1:6">
      <c r="A95" s="7">
        <v>93</v>
      </c>
      <c r="B95" s="7">
        <v>93</v>
      </c>
      <c r="C95" t="str">
        <f>VLOOKUP(B95,_Pitch!$A$2:$B$129,2,FALSE)</f>
        <v>A5</v>
      </c>
      <c r="D95" s="14" t="s">
        <v>394</v>
      </c>
      <c r="E95" s="14" t="s">
        <v>998</v>
      </c>
      <c r="F95" s="14" t="s">
        <v>663</v>
      </c>
    </row>
    <row r="96" spans="1:6">
      <c r="A96" s="7">
        <v>94</v>
      </c>
      <c r="B96" s="7">
        <v>94</v>
      </c>
      <c r="C96" t="str">
        <f>VLOOKUP(B96,_Pitch!$A$2:$B$129,2,FALSE)</f>
        <v>A#5</v>
      </c>
      <c r="D96" s="14" t="s">
        <v>395</v>
      </c>
      <c r="E96" s="14" t="s">
        <v>1009</v>
      </c>
      <c r="F96" s="14" t="s">
        <v>663</v>
      </c>
    </row>
    <row r="97" spans="1:6">
      <c r="A97" s="7">
        <v>95</v>
      </c>
      <c r="B97" s="7">
        <v>95</v>
      </c>
      <c r="C97" t="str">
        <f>VLOOKUP(B97,_Pitch!$A$2:$B$129,2,FALSE)</f>
        <v>B5</v>
      </c>
      <c r="D97" s="14" t="s">
        <v>396</v>
      </c>
      <c r="E97" s="14"/>
      <c r="F97" s="14"/>
    </row>
    <row r="98" spans="1:6">
      <c r="A98" s="7">
        <v>96</v>
      </c>
      <c r="B98" s="7">
        <v>96</v>
      </c>
      <c r="C98" t="str">
        <f>VLOOKUP(B98,_Pitch!$A$2:$B$129,2,FALSE)</f>
        <v>C6</v>
      </c>
      <c r="D98" s="14"/>
      <c r="E98" s="14"/>
      <c r="F98" s="14"/>
    </row>
    <row r="99" spans="1:6">
      <c r="A99" s="7">
        <v>97</v>
      </c>
      <c r="B99" s="7">
        <v>97</v>
      </c>
      <c r="C99" t="str">
        <f>VLOOKUP(B99,_Pitch!$A$2:$B$129,2,FALSE)</f>
        <v>C#6</v>
      </c>
      <c r="D99" s="14"/>
      <c r="E99" s="14"/>
      <c r="F99" s="14"/>
    </row>
    <row r="100" spans="1:6">
      <c r="A100" s="7">
        <v>98</v>
      </c>
      <c r="B100" s="7">
        <v>98</v>
      </c>
      <c r="C100" t="str">
        <f>VLOOKUP(B100,_Pitch!$A$2:$B$129,2,FALSE)</f>
        <v>D6</v>
      </c>
      <c r="D100" s="14"/>
      <c r="E100" s="14"/>
      <c r="F100" s="14"/>
    </row>
    <row r="101" spans="1:6">
      <c r="A101" s="7">
        <v>99</v>
      </c>
      <c r="B101" s="7">
        <v>99</v>
      </c>
      <c r="C101" t="str">
        <f>VLOOKUP(B101,_Pitch!$A$2:$B$129,2,FALSE)</f>
        <v>D#6</v>
      </c>
      <c r="D101" s="14"/>
      <c r="E101" s="14"/>
      <c r="F101" s="14"/>
    </row>
    <row r="102" spans="1:6">
      <c r="A102" s="7">
        <v>100</v>
      </c>
      <c r="B102" s="7">
        <v>100</v>
      </c>
      <c r="C102" t="str">
        <f>VLOOKUP(B102,_Pitch!$A$2:$B$129,2,FALSE)</f>
        <v>E6</v>
      </c>
      <c r="D102" s="14"/>
      <c r="E102" s="14"/>
      <c r="F102" s="14"/>
    </row>
    <row r="103" spans="1:6">
      <c r="A103" s="7">
        <v>101</v>
      </c>
      <c r="B103" s="7">
        <v>101</v>
      </c>
      <c r="C103" t="str">
        <f>VLOOKUP(B103,_Pitch!$A$2:$B$129,2,FALSE)</f>
        <v>F6</v>
      </c>
      <c r="D103" s="14"/>
      <c r="E103" s="14"/>
      <c r="F103" s="14"/>
    </row>
    <row r="104" spans="1:6">
      <c r="A104" s="7">
        <v>102</v>
      </c>
      <c r="B104" s="7">
        <v>102</v>
      </c>
      <c r="C104" t="str">
        <f>VLOOKUP(B104,_Pitch!$A$2:$B$129,2,FALSE)</f>
        <v>F#6</v>
      </c>
      <c r="D104" s="14"/>
      <c r="E104" s="14"/>
      <c r="F104" s="14"/>
    </row>
    <row r="105" spans="1:6">
      <c r="A105" s="7">
        <v>103</v>
      </c>
      <c r="B105" s="7">
        <v>103</v>
      </c>
      <c r="C105" t="str">
        <f>VLOOKUP(B105,_Pitch!$A$2:$B$129,2,FALSE)</f>
        <v>G6</v>
      </c>
      <c r="D105" s="14"/>
      <c r="E105" s="14"/>
      <c r="F105" s="14"/>
    </row>
    <row r="106" spans="1:6">
      <c r="A106" s="7">
        <v>104</v>
      </c>
      <c r="B106" s="7">
        <v>104</v>
      </c>
      <c r="C106" t="str">
        <f>VLOOKUP(B106,_Pitch!$A$2:$B$129,2,FALSE)</f>
        <v>G#6</v>
      </c>
      <c r="D106" s="14"/>
      <c r="E106" s="14"/>
      <c r="F106" s="14"/>
    </row>
    <row r="107" spans="1:6">
      <c r="A107" s="7">
        <v>105</v>
      </c>
      <c r="B107" s="7">
        <v>105</v>
      </c>
      <c r="C107" t="str">
        <f>VLOOKUP(B107,_Pitch!$A$2:$B$129,2,FALSE)</f>
        <v>A6</v>
      </c>
      <c r="D107" s="14"/>
      <c r="E107" s="14"/>
      <c r="F107" s="14"/>
    </row>
    <row r="108" spans="1:6">
      <c r="A108" s="7">
        <v>106</v>
      </c>
      <c r="B108" s="7">
        <v>106</v>
      </c>
      <c r="C108" t="str">
        <f>VLOOKUP(B108,_Pitch!$A$2:$B$129,2,FALSE)</f>
        <v>A#6</v>
      </c>
      <c r="D108" s="14"/>
      <c r="E108" s="14"/>
      <c r="F108" s="14"/>
    </row>
    <row r="109" spans="1:6">
      <c r="A109" s="7">
        <v>107</v>
      </c>
      <c r="B109" s="7">
        <v>107</v>
      </c>
      <c r="C109" t="str">
        <f>VLOOKUP(B109,_Pitch!$A$2:$B$129,2,FALSE)</f>
        <v>B6</v>
      </c>
      <c r="D109" s="14"/>
      <c r="E109" s="14"/>
      <c r="F109" s="14"/>
    </row>
    <row r="110" spans="1:6">
      <c r="A110" s="7">
        <v>108</v>
      </c>
      <c r="B110" s="7">
        <v>108</v>
      </c>
      <c r="C110" t="str">
        <f>VLOOKUP(B110,_Pitch!$A$2:$B$129,2,FALSE)</f>
        <v>C7</v>
      </c>
      <c r="D110" s="14"/>
      <c r="E110" s="14"/>
      <c r="F110" s="14"/>
    </row>
    <row r="111" spans="1:6">
      <c r="A111" s="7">
        <v>109</v>
      </c>
      <c r="B111" s="7">
        <v>109</v>
      </c>
      <c r="C111" t="str">
        <f>VLOOKUP(B111,_Pitch!$A$2:$B$129,2,FALSE)</f>
        <v>C#7</v>
      </c>
      <c r="D111" s="14"/>
      <c r="E111" s="14"/>
      <c r="F111" s="14"/>
    </row>
    <row r="112" spans="1:6">
      <c r="A112" s="7">
        <v>110</v>
      </c>
      <c r="B112" s="7">
        <v>110</v>
      </c>
      <c r="C112" t="str">
        <f>VLOOKUP(B112,_Pitch!$A$2:$B$129,2,FALSE)</f>
        <v>D7</v>
      </c>
      <c r="D112" s="14"/>
      <c r="E112" s="14"/>
      <c r="F112" s="14"/>
    </row>
    <row r="113" spans="1:6">
      <c r="A113" s="7">
        <v>111</v>
      </c>
      <c r="B113" s="7">
        <v>111</v>
      </c>
      <c r="C113" t="str">
        <f>VLOOKUP(B113,_Pitch!$A$2:$B$129,2,FALSE)</f>
        <v>D#7</v>
      </c>
      <c r="D113" s="14"/>
      <c r="E113" s="14"/>
      <c r="F113" s="14"/>
    </row>
    <row r="114" spans="1:6">
      <c r="A114" s="7">
        <v>112</v>
      </c>
      <c r="B114" s="7">
        <v>112</v>
      </c>
      <c r="C114" t="str">
        <f>VLOOKUP(B114,_Pitch!$A$2:$B$129,2,FALSE)</f>
        <v>E7</v>
      </c>
      <c r="D114" s="14"/>
      <c r="E114" s="14"/>
      <c r="F114" s="14"/>
    </row>
    <row r="115" spans="1:6">
      <c r="A115" s="7">
        <v>113</v>
      </c>
      <c r="B115" s="7">
        <v>113</v>
      </c>
      <c r="C115" t="str">
        <f>VLOOKUP(B115,_Pitch!$A$2:$B$129,2,FALSE)</f>
        <v>F7</v>
      </c>
      <c r="D115" s="14"/>
      <c r="E115" s="14"/>
      <c r="F115" s="14"/>
    </row>
    <row r="116" spans="1:6">
      <c r="A116" s="7">
        <v>114</v>
      </c>
      <c r="B116" s="7">
        <v>114</v>
      </c>
      <c r="C116" t="str">
        <f>VLOOKUP(B116,_Pitch!$A$2:$B$129,2,FALSE)</f>
        <v>F#7</v>
      </c>
      <c r="D116" s="14"/>
      <c r="E116" s="14"/>
      <c r="F116" s="14"/>
    </row>
    <row r="117" spans="1:6">
      <c r="A117" s="7">
        <v>115</v>
      </c>
      <c r="B117" s="7">
        <v>115</v>
      </c>
      <c r="C117" t="str">
        <f>VLOOKUP(B117,_Pitch!$A$2:$B$129,2,FALSE)</f>
        <v>G7</v>
      </c>
      <c r="D117" s="14"/>
      <c r="E117" s="14"/>
      <c r="F117" s="14"/>
    </row>
    <row r="118" spans="1:6">
      <c r="A118" s="7">
        <v>116</v>
      </c>
      <c r="B118" s="7">
        <v>116</v>
      </c>
      <c r="C118" t="str">
        <f>VLOOKUP(B118,_Pitch!$A$2:$B$129,2,FALSE)</f>
        <v>G#7</v>
      </c>
      <c r="D118" s="14"/>
      <c r="E118" s="14"/>
      <c r="F118" s="14"/>
    </row>
    <row r="119" spans="1:6">
      <c r="A119" s="7">
        <v>117</v>
      </c>
      <c r="B119" s="7">
        <v>117</v>
      </c>
      <c r="C119" t="str">
        <f>VLOOKUP(B119,_Pitch!$A$2:$B$129,2,FALSE)</f>
        <v>A7</v>
      </c>
      <c r="D119" s="14"/>
      <c r="E119" s="14"/>
      <c r="F119" s="14"/>
    </row>
    <row r="120" spans="1:6">
      <c r="A120" s="7">
        <v>118</v>
      </c>
      <c r="B120" s="7">
        <v>118</v>
      </c>
      <c r="C120" t="str">
        <f>VLOOKUP(B120,_Pitch!$A$2:$B$129,2,FALSE)</f>
        <v>A#7</v>
      </c>
      <c r="D120" s="14"/>
      <c r="E120" s="14"/>
      <c r="F120" s="14"/>
    </row>
    <row r="121" spans="1:6">
      <c r="A121" s="7">
        <v>119</v>
      </c>
      <c r="B121" s="7">
        <v>119</v>
      </c>
      <c r="C121" t="str">
        <f>VLOOKUP(B121,_Pitch!$A$2:$B$129,2,FALSE)</f>
        <v>B7</v>
      </c>
      <c r="D121" s="14"/>
      <c r="E121" s="14"/>
      <c r="F121" s="14"/>
    </row>
    <row r="122" spans="1:6">
      <c r="A122" s="7">
        <v>120</v>
      </c>
      <c r="B122" s="7">
        <v>120</v>
      </c>
      <c r="C122" t="str">
        <f>VLOOKUP(B122,_Pitch!$A$2:$B$129,2,FALSE)</f>
        <v>C8</v>
      </c>
      <c r="D122" s="14"/>
      <c r="E122" s="14"/>
      <c r="F122" s="14"/>
    </row>
    <row r="123" spans="1:6">
      <c r="A123" s="7">
        <v>121</v>
      </c>
      <c r="B123" s="7">
        <v>121</v>
      </c>
      <c r="C123" t="str">
        <f>VLOOKUP(B123,_Pitch!$A$2:$B$129,2,FALSE)</f>
        <v>C#8</v>
      </c>
      <c r="D123" s="14"/>
      <c r="E123" s="14"/>
      <c r="F123" s="14"/>
    </row>
    <row r="124" spans="1:6">
      <c r="A124" s="7">
        <v>122</v>
      </c>
      <c r="B124" s="7">
        <v>122</v>
      </c>
      <c r="C124" t="str">
        <f>VLOOKUP(B124,_Pitch!$A$2:$B$129,2,FALSE)</f>
        <v>D8</v>
      </c>
      <c r="D124" s="14"/>
      <c r="E124" s="14"/>
      <c r="F124" s="14"/>
    </row>
    <row r="125" spans="1:6">
      <c r="A125" s="7">
        <v>123</v>
      </c>
      <c r="B125" s="7">
        <v>123</v>
      </c>
      <c r="C125" t="str">
        <f>VLOOKUP(B125,_Pitch!$A$2:$B$129,2,FALSE)</f>
        <v>D#8</v>
      </c>
      <c r="D125" s="14"/>
      <c r="E125" s="14"/>
      <c r="F125" s="14"/>
    </row>
    <row r="126" spans="1:6">
      <c r="A126" s="7">
        <v>124</v>
      </c>
      <c r="B126" s="7">
        <v>124</v>
      </c>
      <c r="C126" t="str">
        <f>VLOOKUP(B126,_Pitch!$A$2:$B$129,2,FALSE)</f>
        <v>E8</v>
      </c>
      <c r="D126" s="14"/>
      <c r="E126" s="14"/>
      <c r="F126" s="14"/>
    </row>
    <row r="127" spans="1:6">
      <c r="A127" s="7">
        <v>125</v>
      </c>
      <c r="B127" s="7">
        <v>125</v>
      </c>
      <c r="C127" t="str">
        <f>VLOOKUP(B127,_Pitch!$A$2:$B$129,2,FALSE)</f>
        <v>F8</v>
      </c>
      <c r="D127" s="14"/>
      <c r="E127" s="14"/>
      <c r="F127" s="14"/>
    </row>
    <row r="128" spans="1:6">
      <c r="A128" s="7">
        <v>126</v>
      </c>
      <c r="B128" s="7">
        <v>126</v>
      </c>
      <c r="C128" t="str">
        <f>VLOOKUP(B128,_Pitch!$A$2:$B$129,2,FALSE)</f>
        <v>F#8</v>
      </c>
      <c r="D128" s="14"/>
      <c r="E128" s="14"/>
      <c r="F128" s="14"/>
    </row>
    <row r="129" spans="1:6">
      <c r="A129" s="7">
        <v>127</v>
      </c>
      <c r="B129" s="7">
        <v>127</v>
      </c>
      <c r="C129" t="str">
        <f>VLOOKUP(B129,_Pitch!$A$2:$B$129,2,FALSE)</f>
        <v>G8</v>
      </c>
      <c r="D129" s="14"/>
      <c r="E129" s="14"/>
      <c r="F129" s="14"/>
    </row>
  </sheetData>
  <autoFilter ref="A1:G129" xr:uid="{D4A55F8F-1EBE-48D2-964F-165F2BEA6007}"/>
  <sortState xmlns:xlrd2="http://schemas.microsoft.com/office/spreadsheetml/2017/richdata2" ref="A2:G129">
    <sortCondition ref="A2:A129"/>
  </sortState>
  <phoneticPr fontId="1"/>
  <dataValidations count="1">
    <dataValidation type="list" allowBlank="1" showInputMessage="1" showErrorMessage="1" sqref="F2:F129" xr:uid="{816742F1-44B1-41B1-BF93-344D46419AB0}">
      <formula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789BD4A5-952F-4FF6-B2E2-85E52E2ABC16}">
          <x14:formula1>
            <xm:f>_Articulation!$B$2:B$158</xm:f>
          </x14:formula1>
          <xm:sqref>E2:E129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A2928-6345-430A-9085-5F6EE1DEBBF9}">
  <sheetPr codeName="Sheet22"/>
  <dimension ref="A1:G129"/>
  <sheetViews>
    <sheetView workbookViewId="0">
      <pane ySplit="1" topLeftCell="A2" activePane="bottomLeft" state="frozen"/>
      <selection activeCell="D14" sqref="D14"/>
      <selection pane="bottomLeft" activeCell="D14" sqref="D14"/>
    </sheetView>
  </sheetViews>
  <sheetFormatPr defaultRowHeight="13.5"/>
  <cols>
    <col min="1" max="1" width="4.5" style="7" bestFit="1" customWidth="1"/>
    <col min="2" max="2" width="4.5" bestFit="1" customWidth="1"/>
    <col min="3" max="3" width="5.5" bestFit="1" customWidth="1"/>
    <col min="4" max="4" width="45.625" customWidth="1"/>
    <col min="5" max="5" width="28.25" customWidth="1"/>
    <col min="6" max="6" width="10.25" customWidth="1"/>
  </cols>
  <sheetData>
    <row r="1" spans="1:7" s="6" customFormat="1" ht="141.75" customHeight="1">
      <c r="A1" s="15" t="s">
        <v>130</v>
      </c>
      <c r="B1" s="15" t="s">
        <v>1105</v>
      </c>
      <c r="C1" s="15" t="s">
        <v>1106</v>
      </c>
      <c r="D1" s="16" t="s">
        <v>131</v>
      </c>
      <c r="E1" s="23" t="s">
        <v>132</v>
      </c>
      <c r="F1" s="17" t="s">
        <v>664</v>
      </c>
      <c r="G1" s="15" t="s">
        <v>696</v>
      </c>
    </row>
    <row r="2" spans="1:7">
      <c r="A2" s="7">
        <v>0</v>
      </c>
      <c r="B2" s="7">
        <v>0</v>
      </c>
      <c r="C2" t="str">
        <f>VLOOKUP(B2,_Pitch!$A$2:$B$129,2,FALSE)</f>
        <v>C-2</v>
      </c>
      <c r="D2" s="14"/>
      <c r="E2" s="14"/>
      <c r="F2" s="14"/>
    </row>
    <row r="3" spans="1:7">
      <c r="A3" s="7">
        <v>1</v>
      </c>
      <c r="B3" s="7">
        <v>1</v>
      </c>
      <c r="C3" t="str">
        <f>VLOOKUP(B3,_Pitch!$A$2:$B$129,2,FALSE)</f>
        <v>C#-2</v>
      </c>
      <c r="D3" s="14"/>
      <c r="E3" s="14"/>
      <c r="F3" s="14"/>
    </row>
    <row r="4" spans="1:7">
      <c r="A4" s="7">
        <v>2</v>
      </c>
      <c r="B4" s="7">
        <v>2</v>
      </c>
      <c r="C4" t="str">
        <f>VLOOKUP(B4,_Pitch!$A$2:$B$129,2,FALSE)</f>
        <v>D-2</v>
      </c>
      <c r="D4" s="14"/>
      <c r="E4" s="14"/>
      <c r="F4" s="14"/>
    </row>
    <row r="5" spans="1:7">
      <c r="A5" s="7">
        <v>3</v>
      </c>
      <c r="B5" s="7">
        <v>3</v>
      </c>
      <c r="C5" t="str">
        <f>VLOOKUP(B5,_Pitch!$A$2:$B$129,2,FALSE)</f>
        <v>D#-2</v>
      </c>
      <c r="D5" s="14"/>
      <c r="E5" s="14"/>
      <c r="F5" s="14"/>
    </row>
    <row r="6" spans="1:7">
      <c r="A6" s="7">
        <v>4</v>
      </c>
      <c r="B6" s="7">
        <v>4</v>
      </c>
      <c r="C6" t="str">
        <f>VLOOKUP(B6,_Pitch!$A$2:$B$129,2,FALSE)</f>
        <v>E-2</v>
      </c>
      <c r="D6" s="14"/>
      <c r="E6" s="14"/>
      <c r="F6" s="14"/>
    </row>
    <row r="7" spans="1:7">
      <c r="A7" s="7">
        <v>5</v>
      </c>
      <c r="B7" s="7">
        <v>5</v>
      </c>
      <c r="C7" t="str">
        <f>VLOOKUP(B7,_Pitch!$A$2:$B$129,2,FALSE)</f>
        <v>F-2</v>
      </c>
      <c r="D7" s="14"/>
      <c r="E7" s="14"/>
      <c r="F7" s="14"/>
    </row>
    <row r="8" spans="1:7">
      <c r="A8" s="7">
        <v>6</v>
      </c>
      <c r="B8" s="7">
        <v>6</v>
      </c>
      <c r="C8" t="str">
        <f>VLOOKUP(B8,_Pitch!$A$2:$B$129,2,FALSE)</f>
        <v>F#-2</v>
      </c>
      <c r="D8" s="14"/>
      <c r="E8" s="14"/>
      <c r="F8" s="14"/>
    </row>
    <row r="9" spans="1:7">
      <c r="A9" s="7">
        <v>7</v>
      </c>
      <c r="B9" s="7">
        <v>7</v>
      </c>
      <c r="C9" t="str">
        <f>VLOOKUP(B9,_Pitch!$A$2:$B$129,2,FALSE)</f>
        <v>G-2</v>
      </c>
      <c r="D9" s="14"/>
      <c r="E9" s="14"/>
      <c r="F9" s="14"/>
    </row>
    <row r="10" spans="1:7">
      <c r="A10" s="7">
        <v>8</v>
      </c>
      <c r="B10" s="7">
        <v>8</v>
      </c>
      <c r="C10" t="str">
        <f>VLOOKUP(B10,_Pitch!$A$2:$B$129,2,FALSE)</f>
        <v>G#-2</v>
      </c>
      <c r="D10" s="14"/>
      <c r="E10" s="14"/>
      <c r="F10" s="14"/>
    </row>
    <row r="11" spans="1:7">
      <c r="A11" s="7">
        <v>9</v>
      </c>
      <c r="B11" s="7">
        <v>9</v>
      </c>
      <c r="C11" t="str">
        <f>VLOOKUP(B11,_Pitch!$A$2:$B$129,2,FALSE)</f>
        <v>A-2</v>
      </c>
      <c r="D11" s="14"/>
      <c r="E11" s="14"/>
      <c r="F11" s="14"/>
    </row>
    <row r="12" spans="1:7">
      <c r="A12" s="7">
        <v>10</v>
      </c>
      <c r="B12" s="7">
        <v>10</v>
      </c>
      <c r="C12" t="str">
        <f>VLOOKUP(B12,_Pitch!$A$2:$B$129,2,FALSE)</f>
        <v>A#-2</v>
      </c>
      <c r="D12" s="14"/>
      <c r="E12" s="14"/>
      <c r="F12" s="14"/>
    </row>
    <row r="13" spans="1:7">
      <c r="A13" s="7">
        <v>11</v>
      </c>
      <c r="B13" s="7">
        <v>11</v>
      </c>
      <c r="C13" t="str">
        <f>VLOOKUP(B13,_Pitch!$A$2:$B$129,2,FALSE)</f>
        <v>B-2</v>
      </c>
      <c r="D13" s="14"/>
      <c r="E13" s="14"/>
      <c r="F13" s="14"/>
    </row>
    <row r="14" spans="1:7">
      <c r="A14" s="7">
        <v>12</v>
      </c>
      <c r="B14" s="7">
        <v>12</v>
      </c>
      <c r="C14" t="str">
        <f>VLOOKUP(B14,_Pitch!$A$2:$B$129,2,FALSE)</f>
        <v>C-1</v>
      </c>
      <c r="D14" s="14"/>
      <c r="E14" s="14"/>
      <c r="F14" s="14"/>
    </row>
    <row r="15" spans="1:7">
      <c r="A15" s="7">
        <v>13</v>
      </c>
      <c r="B15" s="7">
        <v>13</v>
      </c>
      <c r="C15" t="str">
        <f>VLOOKUP(B15,_Pitch!$A$2:$B$129,2,FALSE)</f>
        <v>C#-1</v>
      </c>
      <c r="D15" s="14"/>
      <c r="E15" s="14"/>
      <c r="F15" s="14"/>
    </row>
    <row r="16" spans="1:7">
      <c r="A16" s="7">
        <v>14</v>
      </c>
      <c r="B16" s="7">
        <v>14</v>
      </c>
      <c r="C16" t="str">
        <f>VLOOKUP(B16,_Pitch!$A$2:$B$129,2,FALSE)</f>
        <v>D-1</v>
      </c>
      <c r="D16" s="14"/>
      <c r="E16" s="14"/>
      <c r="F16" s="14"/>
    </row>
    <row r="17" spans="1:6">
      <c r="A17" s="7">
        <v>15</v>
      </c>
      <c r="B17" s="7">
        <v>15</v>
      </c>
      <c r="C17" t="str">
        <f>VLOOKUP(B17,_Pitch!$A$2:$B$129,2,FALSE)</f>
        <v>D#-1</v>
      </c>
      <c r="D17" s="14"/>
      <c r="E17" s="14"/>
      <c r="F17" s="14"/>
    </row>
    <row r="18" spans="1:6">
      <c r="A18" s="7">
        <v>16</v>
      </c>
      <c r="B18" s="7">
        <v>16</v>
      </c>
      <c r="C18" t="str">
        <f>VLOOKUP(B18,_Pitch!$A$2:$B$129,2,FALSE)</f>
        <v>E-1</v>
      </c>
      <c r="D18" s="14"/>
      <c r="E18" s="14"/>
      <c r="F18" s="14"/>
    </row>
    <row r="19" spans="1:6">
      <c r="A19" s="7">
        <v>17</v>
      </c>
      <c r="B19" s="7">
        <v>17</v>
      </c>
      <c r="C19" t="str">
        <f>VLOOKUP(B19,_Pitch!$A$2:$B$129,2,FALSE)</f>
        <v>F-1</v>
      </c>
      <c r="D19" s="14"/>
      <c r="E19" s="14"/>
      <c r="F19" s="14"/>
    </row>
    <row r="20" spans="1:6">
      <c r="A20" s="7">
        <v>18</v>
      </c>
      <c r="B20" s="7">
        <v>18</v>
      </c>
      <c r="C20" t="str">
        <f>VLOOKUP(B20,_Pitch!$A$2:$B$129,2,FALSE)</f>
        <v>F#-1</v>
      </c>
      <c r="D20" s="14"/>
      <c r="E20" s="14"/>
      <c r="F20" s="14"/>
    </row>
    <row r="21" spans="1:6">
      <c r="A21" s="7">
        <v>19</v>
      </c>
      <c r="B21" s="7">
        <v>19</v>
      </c>
      <c r="C21" t="str">
        <f>VLOOKUP(B21,_Pitch!$A$2:$B$129,2,FALSE)</f>
        <v>G-1</v>
      </c>
      <c r="D21" s="14"/>
      <c r="E21" s="14"/>
      <c r="F21" s="14"/>
    </row>
    <row r="22" spans="1:6">
      <c r="A22" s="7">
        <v>20</v>
      </c>
      <c r="B22" s="7">
        <v>20</v>
      </c>
      <c r="C22" t="str">
        <f>VLOOKUP(B22,_Pitch!$A$2:$B$129,2,FALSE)</f>
        <v>G#-1</v>
      </c>
      <c r="D22" s="14"/>
      <c r="E22" s="14"/>
      <c r="F22" s="14"/>
    </row>
    <row r="23" spans="1:6">
      <c r="A23" s="7">
        <v>21</v>
      </c>
      <c r="B23" s="7">
        <v>21</v>
      </c>
      <c r="C23" t="str">
        <f>VLOOKUP(B23,_Pitch!$A$2:$B$129,2,FALSE)</f>
        <v>A-1</v>
      </c>
      <c r="D23" s="14"/>
      <c r="E23" s="14"/>
      <c r="F23" s="14"/>
    </row>
    <row r="24" spans="1:6">
      <c r="A24" s="7">
        <v>22</v>
      </c>
      <c r="B24" s="7">
        <v>22</v>
      </c>
      <c r="C24" t="str">
        <f>VLOOKUP(B24,_Pitch!$A$2:$B$129,2,FALSE)</f>
        <v>A#-1</v>
      </c>
      <c r="D24" s="14"/>
      <c r="E24" s="14"/>
      <c r="F24" s="14"/>
    </row>
    <row r="25" spans="1:6">
      <c r="A25" s="7">
        <v>23</v>
      </c>
      <c r="B25" s="7">
        <v>23</v>
      </c>
      <c r="C25" t="str">
        <f>VLOOKUP(B25,_Pitch!$A$2:$B$129,2,FALSE)</f>
        <v>B-1</v>
      </c>
      <c r="D25" s="14"/>
      <c r="E25" s="14"/>
      <c r="F25" s="14"/>
    </row>
    <row r="26" spans="1:6">
      <c r="A26" s="7">
        <v>24</v>
      </c>
      <c r="B26" s="7">
        <v>24</v>
      </c>
      <c r="C26" t="str">
        <f>VLOOKUP(B26,_Pitch!$A$2:$B$129,2,FALSE)</f>
        <v>C0</v>
      </c>
      <c r="D26" s="14"/>
      <c r="E26" s="14"/>
      <c r="F26" s="14"/>
    </row>
    <row r="27" spans="1:6">
      <c r="A27" s="7">
        <v>25</v>
      </c>
      <c r="B27" s="7">
        <v>25</v>
      </c>
      <c r="C27" t="str">
        <f>VLOOKUP(B27,_Pitch!$A$2:$B$129,2,FALSE)</f>
        <v>C#0</v>
      </c>
      <c r="D27" s="14" t="s">
        <v>579</v>
      </c>
      <c r="E27" s="14"/>
      <c r="F27" s="14"/>
    </row>
    <row r="28" spans="1:6">
      <c r="A28" s="7">
        <v>26</v>
      </c>
      <c r="B28" s="7">
        <v>26</v>
      </c>
      <c r="C28" t="str">
        <f>VLOOKUP(B28,_Pitch!$A$2:$B$129,2,FALSE)</f>
        <v>D0</v>
      </c>
      <c r="D28" s="14"/>
      <c r="E28" s="14"/>
      <c r="F28" s="14"/>
    </row>
    <row r="29" spans="1:6">
      <c r="A29" s="7">
        <v>27</v>
      </c>
      <c r="B29" s="7">
        <v>27</v>
      </c>
      <c r="C29" t="str">
        <f>VLOOKUP(B29,_Pitch!$A$2:$B$129,2,FALSE)</f>
        <v>D#0</v>
      </c>
      <c r="D29" s="14" t="s">
        <v>580</v>
      </c>
      <c r="E29" s="14"/>
      <c r="F29" s="14"/>
    </row>
    <row r="30" spans="1:6">
      <c r="A30" s="7">
        <v>28</v>
      </c>
      <c r="B30" s="7">
        <v>28</v>
      </c>
      <c r="C30" t="str">
        <f>VLOOKUP(B30,_Pitch!$A$2:$B$129,2,FALSE)</f>
        <v>E0</v>
      </c>
      <c r="D30" s="14"/>
      <c r="E30" s="14"/>
      <c r="F30" s="14"/>
    </row>
    <row r="31" spans="1:6">
      <c r="A31" s="7">
        <v>29</v>
      </c>
      <c r="B31" s="7">
        <v>29</v>
      </c>
      <c r="C31" t="str">
        <f>VLOOKUP(B31,_Pitch!$A$2:$B$129,2,FALSE)</f>
        <v>F0</v>
      </c>
      <c r="D31" s="14" t="s">
        <v>581</v>
      </c>
      <c r="E31" s="14" t="s">
        <v>154</v>
      </c>
      <c r="F31" s="14"/>
    </row>
    <row r="32" spans="1:6">
      <c r="A32" s="7">
        <v>30</v>
      </c>
      <c r="B32" s="7">
        <v>30</v>
      </c>
      <c r="C32" t="str">
        <f>VLOOKUP(B32,_Pitch!$A$2:$B$129,2,FALSE)</f>
        <v>F#0</v>
      </c>
      <c r="D32" s="14" t="s">
        <v>582</v>
      </c>
      <c r="E32" s="14" t="s">
        <v>149</v>
      </c>
      <c r="F32" s="14"/>
    </row>
    <row r="33" spans="1:6">
      <c r="A33" s="7">
        <v>31</v>
      </c>
      <c r="B33" s="7">
        <v>31</v>
      </c>
      <c r="C33" t="str">
        <f>VLOOKUP(B33,_Pitch!$A$2:$B$129,2,FALSE)</f>
        <v>G0</v>
      </c>
      <c r="D33" s="14" t="s">
        <v>583</v>
      </c>
      <c r="E33" s="14" t="s">
        <v>163</v>
      </c>
      <c r="F33" s="14"/>
    </row>
    <row r="34" spans="1:6">
      <c r="A34" s="7">
        <v>32</v>
      </c>
      <c r="B34" s="7">
        <v>32</v>
      </c>
      <c r="C34" t="str">
        <f>VLOOKUP(B34,_Pitch!$A$2:$B$129,2,FALSE)</f>
        <v>G#0</v>
      </c>
      <c r="D34" s="14" t="s">
        <v>584</v>
      </c>
      <c r="E34" s="14" t="s">
        <v>403</v>
      </c>
      <c r="F34" s="14"/>
    </row>
    <row r="35" spans="1:6">
      <c r="A35" s="7">
        <v>33</v>
      </c>
      <c r="B35" s="7">
        <v>33</v>
      </c>
      <c r="C35" t="str">
        <f>VLOOKUP(B35,_Pitch!$A$2:$B$129,2,FALSE)</f>
        <v>A0</v>
      </c>
      <c r="D35" s="14" t="s">
        <v>585</v>
      </c>
      <c r="E35" s="14" t="s">
        <v>169</v>
      </c>
      <c r="F35" s="14"/>
    </row>
    <row r="36" spans="1:6">
      <c r="A36" s="7">
        <v>34</v>
      </c>
      <c r="B36" s="7">
        <v>34</v>
      </c>
      <c r="C36" t="str">
        <f>VLOOKUP(B36,_Pitch!$A$2:$B$129,2,FALSE)</f>
        <v>A#0</v>
      </c>
      <c r="D36" s="14" t="s">
        <v>586</v>
      </c>
      <c r="E36" s="14" t="s">
        <v>160</v>
      </c>
      <c r="F36" s="14"/>
    </row>
    <row r="37" spans="1:6">
      <c r="A37" s="7">
        <v>35</v>
      </c>
      <c r="B37" s="7">
        <v>35</v>
      </c>
      <c r="C37" t="str">
        <f>VLOOKUP(B37,_Pitch!$A$2:$B$129,2,FALSE)</f>
        <v>B0</v>
      </c>
      <c r="D37" s="14" t="s">
        <v>587</v>
      </c>
      <c r="E37" s="14" t="s">
        <v>135</v>
      </c>
      <c r="F37" s="14"/>
    </row>
    <row r="38" spans="1:6">
      <c r="A38" s="7">
        <v>36</v>
      </c>
      <c r="B38" s="7">
        <v>36</v>
      </c>
      <c r="C38" t="str">
        <f>VLOOKUP(B38,_Pitch!$A$2:$B$129,2,FALSE)</f>
        <v>C1</v>
      </c>
      <c r="D38" s="14" t="s">
        <v>588</v>
      </c>
      <c r="E38" s="14" t="s">
        <v>133</v>
      </c>
      <c r="F38" s="14"/>
    </row>
    <row r="39" spans="1:6">
      <c r="A39" s="7">
        <v>37</v>
      </c>
      <c r="B39" s="7">
        <v>37</v>
      </c>
      <c r="C39" t="str">
        <f>VLOOKUP(B39,_Pitch!$A$2:$B$129,2,FALSE)</f>
        <v>C#1</v>
      </c>
      <c r="D39" s="14" t="s">
        <v>249</v>
      </c>
      <c r="E39" s="14" t="s">
        <v>145</v>
      </c>
      <c r="F39" s="14"/>
    </row>
    <row r="40" spans="1:6">
      <c r="A40" s="7">
        <v>38</v>
      </c>
      <c r="B40" s="7">
        <v>38</v>
      </c>
      <c r="C40" t="str">
        <f>VLOOKUP(B40,_Pitch!$A$2:$B$129,2,FALSE)</f>
        <v>D1</v>
      </c>
      <c r="D40" s="14" t="s">
        <v>589</v>
      </c>
      <c r="E40" s="14" t="s">
        <v>615</v>
      </c>
      <c r="F40" s="14"/>
    </row>
    <row r="41" spans="1:6">
      <c r="A41" s="7">
        <v>39</v>
      </c>
      <c r="B41" s="7">
        <v>39</v>
      </c>
      <c r="C41" t="str">
        <f>VLOOKUP(B41,_Pitch!$A$2:$B$129,2,FALSE)</f>
        <v>D#1</v>
      </c>
      <c r="D41" s="14" t="s">
        <v>251</v>
      </c>
      <c r="E41" s="14"/>
      <c r="F41" s="14"/>
    </row>
    <row r="42" spans="1:6">
      <c r="A42" s="7">
        <v>40</v>
      </c>
      <c r="B42" s="7">
        <v>40</v>
      </c>
      <c r="C42" t="str">
        <f>VLOOKUP(B42,_Pitch!$A$2:$B$129,2,FALSE)</f>
        <v>E1</v>
      </c>
      <c r="D42" s="14" t="s">
        <v>617</v>
      </c>
      <c r="E42" s="14" t="s">
        <v>1078</v>
      </c>
      <c r="F42" s="14"/>
    </row>
    <row r="43" spans="1:6">
      <c r="A43" s="7">
        <v>41</v>
      </c>
      <c r="B43" s="7">
        <v>41</v>
      </c>
      <c r="C43" t="str">
        <f>VLOOKUP(B43,_Pitch!$A$2:$B$129,2,FALSE)</f>
        <v>F1</v>
      </c>
      <c r="D43" s="14" t="s">
        <v>590</v>
      </c>
      <c r="E43" s="14" t="s">
        <v>623</v>
      </c>
      <c r="F43" s="14" t="s">
        <v>290</v>
      </c>
    </row>
    <row r="44" spans="1:6">
      <c r="A44" s="7">
        <v>42</v>
      </c>
      <c r="B44" s="7">
        <v>42</v>
      </c>
      <c r="C44" t="str">
        <f>VLOOKUP(B44,_Pitch!$A$2:$B$129,2,FALSE)</f>
        <v>F#1</v>
      </c>
      <c r="D44" s="14" t="s">
        <v>591</v>
      </c>
      <c r="E44" s="14" t="s">
        <v>153</v>
      </c>
      <c r="F44" s="14"/>
    </row>
    <row r="45" spans="1:6">
      <c r="A45" s="7">
        <v>43</v>
      </c>
      <c r="B45" s="7">
        <v>43</v>
      </c>
      <c r="C45" t="str">
        <f>VLOOKUP(B45,_Pitch!$A$2:$B$129,2,FALSE)</f>
        <v>G1</v>
      </c>
      <c r="D45" s="14" t="s">
        <v>592</v>
      </c>
      <c r="E45" s="14" t="s">
        <v>623</v>
      </c>
      <c r="F45" s="14" t="s">
        <v>663</v>
      </c>
    </row>
    <row r="46" spans="1:6">
      <c r="A46" s="7">
        <v>44</v>
      </c>
      <c r="B46" s="7">
        <v>44</v>
      </c>
      <c r="C46" t="str">
        <f>VLOOKUP(B46,_Pitch!$A$2:$B$129,2,FALSE)</f>
        <v>G#1</v>
      </c>
      <c r="D46" s="14" t="s">
        <v>593</v>
      </c>
      <c r="E46" s="14" t="s">
        <v>1068</v>
      </c>
      <c r="F46" s="14"/>
    </row>
    <row r="47" spans="1:6">
      <c r="A47" s="7">
        <v>45</v>
      </c>
      <c r="B47" s="7">
        <v>45</v>
      </c>
      <c r="C47" t="str">
        <f>VLOOKUP(B47,_Pitch!$A$2:$B$129,2,FALSE)</f>
        <v>A1</v>
      </c>
      <c r="D47" s="14" t="s">
        <v>594</v>
      </c>
      <c r="E47" s="14" t="s">
        <v>619</v>
      </c>
      <c r="F47" s="14" t="s">
        <v>663</v>
      </c>
    </row>
    <row r="48" spans="1:6">
      <c r="A48" s="7">
        <v>46</v>
      </c>
      <c r="B48" s="7">
        <v>46</v>
      </c>
      <c r="C48" t="str">
        <f>VLOOKUP(B48,_Pitch!$A$2:$B$129,2,FALSE)</f>
        <v>A#1</v>
      </c>
      <c r="D48" s="14" t="s">
        <v>595</v>
      </c>
      <c r="E48" s="14" t="s">
        <v>166</v>
      </c>
      <c r="F48" s="14"/>
    </row>
    <row r="49" spans="1:6">
      <c r="A49" s="7">
        <v>47</v>
      </c>
      <c r="B49" s="7">
        <v>47</v>
      </c>
      <c r="C49" t="str">
        <f>VLOOKUP(B49,_Pitch!$A$2:$B$129,2,FALSE)</f>
        <v>B1</v>
      </c>
      <c r="D49" s="14" t="s">
        <v>596</v>
      </c>
      <c r="E49" s="14" t="s">
        <v>1007</v>
      </c>
      <c r="F49" s="14" t="s">
        <v>663</v>
      </c>
    </row>
    <row r="50" spans="1:6">
      <c r="A50" s="7">
        <v>48</v>
      </c>
      <c r="B50" s="7">
        <v>48</v>
      </c>
      <c r="C50" t="str">
        <f>VLOOKUP(B50,_Pitch!$A$2:$B$129,2,FALSE)</f>
        <v>C2</v>
      </c>
      <c r="D50" s="14" t="s">
        <v>597</v>
      </c>
      <c r="E50" s="14" t="s">
        <v>1001</v>
      </c>
      <c r="F50" s="14" t="s">
        <v>663</v>
      </c>
    </row>
    <row r="51" spans="1:6">
      <c r="A51" s="7">
        <v>49</v>
      </c>
      <c r="B51" s="7">
        <v>49</v>
      </c>
      <c r="C51" t="str">
        <f>VLOOKUP(B51,_Pitch!$A$2:$B$129,2,FALSE)</f>
        <v>C#2</v>
      </c>
      <c r="D51" s="14" t="s">
        <v>938</v>
      </c>
      <c r="E51" s="14" t="s">
        <v>568</v>
      </c>
      <c r="F51" s="14"/>
    </row>
    <row r="52" spans="1:6">
      <c r="A52" s="7">
        <v>50</v>
      </c>
      <c r="B52" s="7">
        <v>50</v>
      </c>
      <c r="C52" t="str">
        <f>VLOOKUP(B52,_Pitch!$A$2:$B$129,2,FALSE)</f>
        <v>D2</v>
      </c>
      <c r="D52" s="14" t="s">
        <v>598</v>
      </c>
      <c r="E52" s="14" t="s">
        <v>996</v>
      </c>
      <c r="F52" s="14" t="s">
        <v>663</v>
      </c>
    </row>
    <row r="53" spans="1:6">
      <c r="A53" s="7">
        <v>51</v>
      </c>
      <c r="B53" s="7">
        <v>51</v>
      </c>
      <c r="C53" t="str">
        <f>VLOOKUP(B53,_Pitch!$A$2:$B$129,2,FALSE)</f>
        <v>D#2</v>
      </c>
      <c r="D53" s="14" t="s">
        <v>599</v>
      </c>
      <c r="E53" s="14" t="s">
        <v>175</v>
      </c>
      <c r="F53" s="14"/>
    </row>
    <row r="54" spans="1:6">
      <c r="A54" s="7">
        <v>52</v>
      </c>
      <c r="B54" s="7">
        <v>52</v>
      </c>
      <c r="C54" t="str">
        <f>VLOOKUP(B54,_Pitch!$A$2:$B$129,2,FALSE)</f>
        <v>E2</v>
      </c>
      <c r="D54" s="14" t="s">
        <v>941</v>
      </c>
      <c r="E54" s="14" t="s">
        <v>905</v>
      </c>
      <c r="F54" s="14"/>
    </row>
    <row r="55" spans="1:6">
      <c r="A55" s="7">
        <v>53</v>
      </c>
      <c r="B55" s="7">
        <v>53</v>
      </c>
      <c r="C55" t="str">
        <f>VLOOKUP(B55,_Pitch!$A$2:$B$129,2,FALSE)</f>
        <v>F2</v>
      </c>
      <c r="D55" s="14" t="s">
        <v>600</v>
      </c>
      <c r="E55" s="14" t="s">
        <v>180</v>
      </c>
      <c r="F55" s="14"/>
    </row>
    <row r="56" spans="1:6">
      <c r="A56" s="7">
        <v>54</v>
      </c>
      <c r="B56" s="7">
        <v>54</v>
      </c>
      <c r="C56" t="str">
        <f>VLOOKUP(B56,_Pitch!$A$2:$B$129,2,FALSE)</f>
        <v>F#2</v>
      </c>
      <c r="D56" s="14" t="s">
        <v>264</v>
      </c>
      <c r="E56" s="14"/>
      <c r="F56" s="14"/>
    </row>
    <row r="57" spans="1:6">
      <c r="A57" s="7">
        <v>55</v>
      </c>
      <c r="B57" s="7">
        <v>55</v>
      </c>
      <c r="C57" t="str">
        <f>VLOOKUP(B57,_Pitch!$A$2:$B$129,2,FALSE)</f>
        <v>G2</v>
      </c>
      <c r="D57" s="14" t="s">
        <v>265</v>
      </c>
      <c r="E57" s="14" t="s">
        <v>904</v>
      </c>
      <c r="F57" s="14"/>
    </row>
    <row r="58" spans="1:6">
      <c r="A58" s="7">
        <v>56</v>
      </c>
      <c r="B58" s="7">
        <v>56</v>
      </c>
      <c r="C58" t="str">
        <f>VLOOKUP(B58,_Pitch!$A$2:$B$129,2,FALSE)</f>
        <v>G#2</v>
      </c>
      <c r="D58" s="14" t="s">
        <v>266</v>
      </c>
      <c r="E58" s="14"/>
      <c r="F58" s="14"/>
    </row>
    <row r="59" spans="1:6">
      <c r="A59" s="7">
        <v>57</v>
      </c>
      <c r="B59" s="7">
        <v>57</v>
      </c>
      <c r="C59" t="str">
        <f>VLOOKUP(B59,_Pitch!$A$2:$B$129,2,FALSE)</f>
        <v>A2</v>
      </c>
      <c r="D59" s="14" t="s">
        <v>945</v>
      </c>
      <c r="E59" s="14" t="s">
        <v>569</v>
      </c>
      <c r="F59" s="14"/>
    </row>
    <row r="60" spans="1:6">
      <c r="A60" s="7">
        <v>58</v>
      </c>
      <c r="B60" s="7">
        <v>58</v>
      </c>
      <c r="C60" t="str">
        <f>VLOOKUP(B60,_Pitch!$A$2:$B$129,2,FALSE)</f>
        <v>A#2</v>
      </c>
      <c r="D60" s="14" t="s">
        <v>955</v>
      </c>
      <c r="E60" s="14" t="s">
        <v>937</v>
      </c>
      <c r="F60" s="14"/>
    </row>
    <row r="61" spans="1:6">
      <c r="A61" s="7">
        <v>59</v>
      </c>
      <c r="B61" s="7">
        <v>59</v>
      </c>
      <c r="C61" t="str">
        <f>VLOOKUP(B61,_Pitch!$A$2:$B$129,2,FALSE)</f>
        <v>B2</v>
      </c>
      <c r="D61" s="14" t="s">
        <v>961</v>
      </c>
      <c r="E61" s="14" t="s">
        <v>944</v>
      </c>
      <c r="F61" s="14"/>
    </row>
    <row r="62" spans="1:6">
      <c r="A62" s="7">
        <v>60</v>
      </c>
      <c r="B62" s="7">
        <v>60</v>
      </c>
      <c r="C62" t="str">
        <f>VLOOKUP(B62,_Pitch!$A$2:$B$129,2,FALSE)</f>
        <v>C3</v>
      </c>
      <c r="D62" s="14" t="s">
        <v>601</v>
      </c>
      <c r="E62" s="14" t="s">
        <v>1013</v>
      </c>
      <c r="F62" s="14"/>
    </row>
    <row r="63" spans="1:6">
      <c r="A63" s="7">
        <v>61</v>
      </c>
      <c r="B63" s="7">
        <v>61</v>
      </c>
      <c r="C63" t="str">
        <f>VLOOKUP(B63,_Pitch!$A$2:$B$129,2,FALSE)</f>
        <v>C#3</v>
      </c>
      <c r="D63" s="14" t="s">
        <v>602</v>
      </c>
      <c r="E63" s="14" t="s">
        <v>933</v>
      </c>
      <c r="F63" s="14"/>
    </row>
    <row r="64" spans="1:6">
      <c r="A64" s="7">
        <v>62</v>
      </c>
      <c r="B64" s="7">
        <v>62</v>
      </c>
      <c r="C64" t="str">
        <f>VLOOKUP(B64,_Pitch!$A$2:$B$129,2,FALSE)</f>
        <v>D3</v>
      </c>
      <c r="D64" s="14" t="s">
        <v>603</v>
      </c>
      <c r="E64" s="14" t="s">
        <v>616</v>
      </c>
      <c r="F64" s="14" t="s">
        <v>663</v>
      </c>
    </row>
    <row r="65" spans="1:6">
      <c r="A65" s="7">
        <v>63</v>
      </c>
      <c r="B65" s="7">
        <v>63</v>
      </c>
      <c r="C65" t="str">
        <f>VLOOKUP(B65,_Pitch!$A$2:$B$129,2,FALSE)</f>
        <v>D#3</v>
      </c>
      <c r="D65" s="14" t="s">
        <v>947</v>
      </c>
      <c r="E65" s="14" t="s">
        <v>908</v>
      </c>
      <c r="F65" s="14"/>
    </row>
    <row r="66" spans="1:6">
      <c r="A66" s="7">
        <v>64</v>
      </c>
      <c r="B66" s="7">
        <v>64</v>
      </c>
      <c r="C66" t="str">
        <f>VLOOKUP(B66,_Pitch!$A$2:$B$129,2,FALSE)</f>
        <v>E3</v>
      </c>
      <c r="D66" s="14" t="s">
        <v>618</v>
      </c>
      <c r="E66" s="14" t="s">
        <v>1079</v>
      </c>
      <c r="F66" s="14" t="s">
        <v>663</v>
      </c>
    </row>
    <row r="67" spans="1:6">
      <c r="A67" s="7">
        <v>65</v>
      </c>
      <c r="B67" s="7">
        <v>65</v>
      </c>
      <c r="C67" t="str">
        <f>VLOOKUP(B67,_Pitch!$A$2:$B$129,2,FALSE)</f>
        <v>F3</v>
      </c>
      <c r="D67" s="14" t="s">
        <v>604</v>
      </c>
      <c r="E67" s="14" t="s">
        <v>625</v>
      </c>
      <c r="F67" s="14" t="s">
        <v>290</v>
      </c>
    </row>
    <row r="68" spans="1:6">
      <c r="A68" s="7">
        <v>66</v>
      </c>
      <c r="B68" s="7">
        <v>66</v>
      </c>
      <c r="C68" t="str">
        <f>VLOOKUP(B68,_Pitch!$A$2:$B$129,2,FALSE)</f>
        <v>F#3</v>
      </c>
      <c r="D68" s="14" t="s">
        <v>605</v>
      </c>
      <c r="E68" s="14" t="s">
        <v>210</v>
      </c>
      <c r="F68" s="14"/>
    </row>
    <row r="69" spans="1:6">
      <c r="A69" s="7">
        <v>67</v>
      </c>
      <c r="B69" s="7">
        <v>67</v>
      </c>
      <c r="C69" t="str">
        <f>VLOOKUP(B69,_Pitch!$A$2:$B$129,2,FALSE)</f>
        <v>G3</v>
      </c>
      <c r="D69" s="14" t="s">
        <v>606</v>
      </c>
      <c r="E69" s="14" t="s">
        <v>625</v>
      </c>
      <c r="F69" s="14"/>
    </row>
    <row r="70" spans="1:6">
      <c r="A70" s="7">
        <v>68</v>
      </c>
      <c r="B70" s="7">
        <v>68</v>
      </c>
      <c r="C70" t="str">
        <f>VLOOKUP(B70,_Pitch!$A$2:$B$129,2,FALSE)</f>
        <v>G#3</v>
      </c>
      <c r="D70" s="14" t="s">
        <v>945</v>
      </c>
      <c r="E70" s="14" t="s">
        <v>216</v>
      </c>
      <c r="F70" s="14"/>
    </row>
    <row r="71" spans="1:6">
      <c r="A71" s="7">
        <v>69</v>
      </c>
      <c r="B71" s="7">
        <v>69</v>
      </c>
      <c r="C71" t="str">
        <f>VLOOKUP(B71,_Pitch!$A$2:$B$129,2,FALSE)</f>
        <v>A3</v>
      </c>
      <c r="D71" s="14" t="s">
        <v>607</v>
      </c>
      <c r="E71" s="14" t="s">
        <v>621</v>
      </c>
      <c r="F71" s="14"/>
    </row>
    <row r="72" spans="1:6">
      <c r="A72" s="7">
        <v>70</v>
      </c>
      <c r="B72" s="7">
        <v>70</v>
      </c>
      <c r="C72" t="str">
        <f>VLOOKUP(B72,_Pitch!$A$2:$B$129,2,FALSE)</f>
        <v>A#3</v>
      </c>
      <c r="D72" s="14" t="s">
        <v>608</v>
      </c>
      <c r="E72" s="14" t="s">
        <v>914</v>
      </c>
      <c r="F72" s="14"/>
    </row>
    <row r="73" spans="1:6">
      <c r="A73" s="7">
        <v>71</v>
      </c>
      <c r="B73" s="7">
        <v>71</v>
      </c>
      <c r="C73" t="str">
        <f>VLOOKUP(B73,_Pitch!$A$2:$B$129,2,FALSE)</f>
        <v>B3</v>
      </c>
      <c r="D73" s="14" t="s">
        <v>609</v>
      </c>
      <c r="E73" s="14" t="s">
        <v>1008</v>
      </c>
      <c r="F73" s="14"/>
    </row>
    <row r="74" spans="1:6">
      <c r="A74" s="7">
        <v>72</v>
      </c>
      <c r="B74" s="7">
        <v>72</v>
      </c>
      <c r="C74" t="str">
        <f>VLOOKUP(B74,_Pitch!$A$2:$B$129,2,FALSE)</f>
        <v>C4</v>
      </c>
      <c r="D74" s="14" t="s">
        <v>610</v>
      </c>
      <c r="E74" s="14" t="s">
        <v>1002</v>
      </c>
      <c r="F74" s="14"/>
    </row>
    <row r="75" spans="1:6">
      <c r="A75" s="7">
        <v>73</v>
      </c>
      <c r="B75" s="7">
        <v>73</v>
      </c>
      <c r="C75" t="str">
        <f>VLOOKUP(B75,_Pitch!$A$2:$B$129,2,FALSE)</f>
        <v>C#4</v>
      </c>
      <c r="D75" s="14" t="s">
        <v>956</v>
      </c>
      <c r="E75" s="14" t="s">
        <v>384</v>
      </c>
      <c r="F75" s="14"/>
    </row>
    <row r="76" spans="1:6">
      <c r="A76" s="7">
        <v>74</v>
      </c>
      <c r="B76" s="7">
        <v>74</v>
      </c>
      <c r="C76" t="str">
        <f>VLOOKUP(B76,_Pitch!$A$2:$B$129,2,FALSE)</f>
        <v>D4</v>
      </c>
      <c r="D76" s="14" t="s">
        <v>611</v>
      </c>
      <c r="E76" s="14" t="s">
        <v>997</v>
      </c>
      <c r="F76" s="14"/>
    </row>
    <row r="77" spans="1:6">
      <c r="A77" s="7">
        <v>75</v>
      </c>
      <c r="B77" s="7">
        <v>75</v>
      </c>
      <c r="C77" t="str">
        <f>VLOOKUP(B77,_Pitch!$A$2:$B$129,2,FALSE)</f>
        <v>D#4</v>
      </c>
      <c r="D77" s="14" t="s">
        <v>962</v>
      </c>
      <c r="E77" s="14" t="s">
        <v>385</v>
      </c>
      <c r="F77" s="14"/>
    </row>
    <row r="78" spans="1:6">
      <c r="A78" s="7">
        <v>76</v>
      </c>
      <c r="B78" s="7">
        <v>76</v>
      </c>
      <c r="C78" t="str">
        <f>VLOOKUP(B78,_Pitch!$A$2:$B$129,2,FALSE)</f>
        <v>E4</v>
      </c>
      <c r="D78" s="14" t="s">
        <v>612</v>
      </c>
      <c r="E78" s="14" t="s">
        <v>976</v>
      </c>
      <c r="F78" s="14"/>
    </row>
    <row r="79" spans="1:6">
      <c r="A79" s="7">
        <v>77</v>
      </c>
      <c r="B79" s="7">
        <v>77</v>
      </c>
      <c r="C79" t="str">
        <f>VLOOKUP(B79,_Pitch!$A$2:$B$129,2,FALSE)</f>
        <v>F4</v>
      </c>
      <c r="D79" s="14"/>
      <c r="E79" s="14"/>
      <c r="F79" s="14"/>
    </row>
    <row r="80" spans="1:6">
      <c r="A80" s="7">
        <v>78</v>
      </c>
      <c r="B80" s="7">
        <v>78</v>
      </c>
      <c r="C80" t="str">
        <f>VLOOKUP(B80,_Pitch!$A$2:$B$129,2,FALSE)</f>
        <v>F#4</v>
      </c>
      <c r="D80" s="14"/>
      <c r="E80" s="14"/>
      <c r="F80" s="14"/>
    </row>
    <row r="81" spans="1:6">
      <c r="A81" s="7">
        <v>79</v>
      </c>
      <c r="B81" s="7">
        <v>79</v>
      </c>
      <c r="C81" t="str">
        <f>VLOOKUP(B81,_Pitch!$A$2:$B$129,2,FALSE)</f>
        <v>G4</v>
      </c>
      <c r="D81" s="14"/>
      <c r="E81" s="14"/>
      <c r="F81" s="14"/>
    </row>
    <row r="82" spans="1:6">
      <c r="A82" s="7">
        <v>80</v>
      </c>
      <c r="B82" s="7">
        <v>80</v>
      </c>
      <c r="C82" t="str">
        <f>VLOOKUP(B82,_Pitch!$A$2:$B$129,2,FALSE)</f>
        <v>G#4</v>
      </c>
      <c r="D82" s="14"/>
      <c r="E82" s="14"/>
      <c r="F82" s="14"/>
    </row>
    <row r="83" spans="1:6">
      <c r="A83" s="7">
        <v>81</v>
      </c>
      <c r="B83" s="7">
        <v>81</v>
      </c>
      <c r="C83" t="str">
        <f>VLOOKUP(B83,_Pitch!$A$2:$B$129,2,FALSE)</f>
        <v>A4</v>
      </c>
      <c r="D83" s="14"/>
      <c r="E83" s="14"/>
      <c r="F83" s="14"/>
    </row>
    <row r="84" spans="1:6">
      <c r="A84" s="7">
        <v>82</v>
      </c>
      <c r="B84" s="7">
        <v>82</v>
      </c>
      <c r="C84" t="str">
        <f>VLOOKUP(B84,_Pitch!$A$2:$B$129,2,FALSE)</f>
        <v>A#4</v>
      </c>
      <c r="D84" s="14"/>
      <c r="E84" s="14"/>
      <c r="F84" s="14"/>
    </row>
    <row r="85" spans="1:6">
      <c r="A85" s="7">
        <v>83</v>
      </c>
      <c r="B85" s="7">
        <v>83</v>
      </c>
      <c r="C85" t="str">
        <f>VLOOKUP(B85,_Pitch!$A$2:$B$129,2,FALSE)</f>
        <v>B4</v>
      </c>
      <c r="D85" s="14"/>
      <c r="E85" s="14"/>
      <c r="F85" s="14"/>
    </row>
    <row r="86" spans="1:6">
      <c r="A86" s="7">
        <v>84</v>
      </c>
      <c r="B86" s="7">
        <v>84</v>
      </c>
      <c r="C86" t="str">
        <f>VLOOKUP(B86,_Pitch!$A$2:$B$129,2,FALSE)</f>
        <v>C5</v>
      </c>
      <c r="D86" s="14"/>
      <c r="E86" s="14"/>
      <c r="F86" s="14"/>
    </row>
    <row r="87" spans="1:6">
      <c r="A87" s="7">
        <v>85</v>
      </c>
      <c r="B87" s="7">
        <v>85</v>
      </c>
      <c r="C87" t="str">
        <f>VLOOKUP(B87,_Pitch!$A$2:$B$129,2,FALSE)</f>
        <v>C#5</v>
      </c>
      <c r="D87" s="14"/>
      <c r="E87" s="14"/>
      <c r="F87" s="14"/>
    </row>
    <row r="88" spans="1:6">
      <c r="A88" s="7">
        <v>86</v>
      </c>
      <c r="B88" s="7">
        <v>86</v>
      </c>
      <c r="C88" t="str">
        <f>VLOOKUP(B88,_Pitch!$A$2:$B$129,2,FALSE)</f>
        <v>D5</v>
      </c>
      <c r="D88" s="14"/>
      <c r="E88" s="14"/>
      <c r="F88" s="14"/>
    </row>
    <row r="89" spans="1:6">
      <c r="A89" s="7">
        <v>87</v>
      </c>
      <c r="B89" s="7">
        <v>87</v>
      </c>
      <c r="C89" t="str">
        <f>VLOOKUP(B89,_Pitch!$A$2:$B$129,2,FALSE)</f>
        <v>D#5</v>
      </c>
      <c r="D89" s="14"/>
      <c r="E89" s="14"/>
      <c r="F89" s="14"/>
    </row>
    <row r="90" spans="1:6">
      <c r="A90" s="7">
        <v>88</v>
      </c>
      <c r="B90" s="7">
        <v>88</v>
      </c>
      <c r="C90" t="str">
        <f>VLOOKUP(B90,_Pitch!$A$2:$B$129,2,FALSE)</f>
        <v>E5</v>
      </c>
      <c r="D90" s="14"/>
      <c r="E90" s="14"/>
      <c r="F90" s="14"/>
    </row>
    <row r="91" spans="1:6">
      <c r="A91" s="7">
        <v>89</v>
      </c>
      <c r="B91" s="7">
        <v>89</v>
      </c>
      <c r="C91" t="str">
        <f>VLOOKUP(B91,_Pitch!$A$2:$B$129,2,FALSE)</f>
        <v>F5</v>
      </c>
      <c r="D91" s="14"/>
      <c r="E91" s="14"/>
      <c r="F91" s="14"/>
    </row>
    <row r="92" spans="1:6">
      <c r="A92" s="7">
        <v>90</v>
      </c>
      <c r="B92" s="7">
        <v>90</v>
      </c>
      <c r="C92" t="str">
        <f>VLOOKUP(B92,_Pitch!$A$2:$B$129,2,FALSE)</f>
        <v>F#5</v>
      </c>
      <c r="D92" s="14"/>
      <c r="E92" s="14"/>
      <c r="F92" s="14"/>
    </row>
    <row r="93" spans="1:6">
      <c r="A93" s="7">
        <v>91</v>
      </c>
      <c r="B93" s="7">
        <v>91</v>
      </c>
      <c r="C93" t="str">
        <f>VLOOKUP(B93,_Pitch!$A$2:$B$129,2,FALSE)</f>
        <v>G5</v>
      </c>
      <c r="D93" s="14"/>
      <c r="E93" s="14"/>
      <c r="F93" s="14"/>
    </row>
    <row r="94" spans="1:6">
      <c r="A94" s="7">
        <v>92</v>
      </c>
      <c r="B94" s="7">
        <v>92</v>
      </c>
      <c r="C94" t="str">
        <f>VLOOKUP(B94,_Pitch!$A$2:$B$129,2,FALSE)</f>
        <v>G#5</v>
      </c>
      <c r="D94" s="14"/>
      <c r="E94" s="14"/>
      <c r="F94" s="14"/>
    </row>
    <row r="95" spans="1:6">
      <c r="A95" s="7">
        <v>93</v>
      </c>
      <c r="B95" s="7">
        <v>93</v>
      </c>
      <c r="C95" t="str">
        <f>VLOOKUP(B95,_Pitch!$A$2:$B$129,2,FALSE)</f>
        <v>A5</v>
      </c>
      <c r="D95" s="14"/>
      <c r="E95" s="14"/>
      <c r="F95" s="14"/>
    </row>
    <row r="96" spans="1:6">
      <c r="A96" s="7">
        <v>94</v>
      </c>
      <c r="B96" s="7">
        <v>94</v>
      </c>
      <c r="C96" t="str">
        <f>VLOOKUP(B96,_Pitch!$A$2:$B$129,2,FALSE)</f>
        <v>A#5</v>
      </c>
      <c r="D96" s="14"/>
      <c r="E96" s="14"/>
      <c r="F96" s="14"/>
    </row>
    <row r="97" spans="1:6">
      <c r="A97" s="7">
        <v>95</v>
      </c>
      <c r="B97" s="7">
        <v>95</v>
      </c>
      <c r="C97" t="str">
        <f>VLOOKUP(B97,_Pitch!$A$2:$B$129,2,FALSE)</f>
        <v>B5</v>
      </c>
      <c r="D97" s="14"/>
      <c r="E97" s="14"/>
      <c r="F97" s="14"/>
    </row>
    <row r="98" spans="1:6">
      <c r="A98" s="7">
        <v>96</v>
      </c>
      <c r="B98" s="7">
        <v>96</v>
      </c>
      <c r="C98" t="str">
        <f>VLOOKUP(B98,_Pitch!$A$2:$B$129,2,FALSE)</f>
        <v>C6</v>
      </c>
      <c r="D98" s="14"/>
      <c r="E98" s="14"/>
      <c r="F98" s="14"/>
    </row>
    <row r="99" spans="1:6">
      <c r="A99" s="7">
        <v>97</v>
      </c>
      <c r="B99" s="7">
        <v>97</v>
      </c>
      <c r="C99" t="str">
        <f>VLOOKUP(B99,_Pitch!$A$2:$B$129,2,FALSE)</f>
        <v>C#6</v>
      </c>
      <c r="D99" s="14"/>
      <c r="E99" s="14"/>
      <c r="F99" s="14"/>
    </row>
    <row r="100" spans="1:6">
      <c r="A100" s="7">
        <v>98</v>
      </c>
      <c r="B100" s="7">
        <v>98</v>
      </c>
      <c r="C100" t="str">
        <f>VLOOKUP(B100,_Pitch!$A$2:$B$129,2,FALSE)</f>
        <v>D6</v>
      </c>
      <c r="D100" s="14"/>
      <c r="E100" s="14"/>
      <c r="F100" s="14"/>
    </row>
    <row r="101" spans="1:6">
      <c r="A101" s="7">
        <v>99</v>
      </c>
      <c r="B101" s="7">
        <v>99</v>
      </c>
      <c r="C101" t="str">
        <f>VLOOKUP(B101,_Pitch!$A$2:$B$129,2,FALSE)</f>
        <v>D#6</v>
      </c>
      <c r="D101" s="14"/>
      <c r="E101" s="14"/>
      <c r="F101" s="14"/>
    </row>
    <row r="102" spans="1:6">
      <c r="A102" s="7">
        <v>100</v>
      </c>
      <c r="B102" s="7">
        <v>100</v>
      </c>
      <c r="C102" t="str">
        <f>VLOOKUP(B102,_Pitch!$A$2:$B$129,2,FALSE)</f>
        <v>E6</v>
      </c>
      <c r="D102" s="14"/>
      <c r="E102" s="14"/>
      <c r="F102" s="14"/>
    </row>
    <row r="103" spans="1:6">
      <c r="A103" s="7">
        <v>101</v>
      </c>
      <c r="B103" s="7">
        <v>101</v>
      </c>
      <c r="C103" t="str">
        <f>VLOOKUP(B103,_Pitch!$A$2:$B$129,2,FALSE)</f>
        <v>F6</v>
      </c>
      <c r="D103" s="14"/>
      <c r="E103" s="14"/>
      <c r="F103" s="14"/>
    </row>
    <row r="104" spans="1:6">
      <c r="A104" s="7">
        <v>102</v>
      </c>
      <c r="B104" s="7">
        <v>102</v>
      </c>
      <c r="C104" t="str">
        <f>VLOOKUP(B104,_Pitch!$A$2:$B$129,2,FALSE)</f>
        <v>F#6</v>
      </c>
      <c r="D104" s="14"/>
      <c r="E104" s="14"/>
      <c r="F104" s="14"/>
    </row>
    <row r="105" spans="1:6">
      <c r="A105" s="7">
        <v>103</v>
      </c>
      <c r="B105" s="7">
        <v>103</v>
      </c>
      <c r="C105" t="str">
        <f>VLOOKUP(B105,_Pitch!$A$2:$B$129,2,FALSE)</f>
        <v>G6</v>
      </c>
      <c r="D105" s="14"/>
      <c r="E105" s="14"/>
      <c r="F105" s="14"/>
    </row>
    <row r="106" spans="1:6">
      <c r="A106" s="7">
        <v>104</v>
      </c>
      <c r="B106" s="7">
        <v>104</v>
      </c>
      <c r="C106" t="str">
        <f>VLOOKUP(B106,_Pitch!$A$2:$B$129,2,FALSE)</f>
        <v>G#6</v>
      </c>
      <c r="D106" s="14"/>
      <c r="E106" s="14"/>
      <c r="F106" s="14"/>
    </row>
    <row r="107" spans="1:6">
      <c r="A107" s="7">
        <v>105</v>
      </c>
      <c r="B107" s="7">
        <v>105</v>
      </c>
      <c r="C107" t="str">
        <f>VLOOKUP(B107,_Pitch!$A$2:$B$129,2,FALSE)</f>
        <v>A6</v>
      </c>
      <c r="D107" s="14"/>
      <c r="E107" s="14"/>
      <c r="F107" s="14"/>
    </row>
    <row r="108" spans="1:6">
      <c r="A108" s="7">
        <v>106</v>
      </c>
      <c r="B108" s="7">
        <v>106</v>
      </c>
      <c r="C108" t="str">
        <f>VLOOKUP(B108,_Pitch!$A$2:$B$129,2,FALSE)</f>
        <v>A#6</v>
      </c>
      <c r="D108" s="14"/>
      <c r="E108" s="14"/>
      <c r="F108" s="14"/>
    </row>
    <row r="109" spans="1:6">
      <c r="A109" s="7">
        <v>107</v>
      </c>
      <c r="B109" s="7">
        <v>107</v>
      </c>
      <c r="C109" t="str">
        <f>VLOOKUP(B109,_Pitch!$A$2:$B$129,2,FALSE)</f>
        <v>B6</v>
      </c>
      <c r="D109" s="14"/>
      <c r="E109" s="14"/>
      <c r="F109" s="14"/>
    </row>
    <row r="110" spans="1:6">
      <c r="A110" s="7">
        <v>108</v>
      </c>
      <c r="B110" s="7">
        <v>108</v>
      </c>
      <c r="C110" t="str">
        <f>VLOOKUP(B110,_Pitch!$A$2:$B$129,2,FALSE)</f>
        <v>C7</v>
      </c>
      <c r="D110" s="14"/>
      <c r="E110" s="14"/>
      <c r="F110" s="14"/>
    </row>
    <row r="111" spans="1:6">
      <c r="A111" s="7">
        <v>109</v>
      </c>
      <c r="B111" s="7">
        <v>109</v>
      </c>
      <c r="C111" t="str">
        <f>VLOOKUP(B111,_Pitch!$A$2:$B$129,2,FALSE)</f>
        <v>C#7</v>
      </c>
      <c r="D111" s="14"/>
      <c r="E111" s="14"/>
      <c r="F111" s="14"/>
    </row>
    <row r="112" spans="1:6">
      <c r="A112" s="7">
        <v>110</v>
      </c>
      <c r="B112" s="7">
        <v>110</v>
      </c>
      <c r="C112" t="str">
        <f>VLOOKUP(B112,_Pitch!$A$2:$B$129,2,FALSE)</f>
        <v>D7</v>
      </c>
      <c r="D112" s="14"/>
      <c r="E112" s="14"/>
      <c r="F112" s="14"/>
    </row>
    <row r="113" spans="1:6">
      <c r="A113" s="7">
        <v>111</v>
      </c>
      <c r="B113" s="7">
        <v>111</v>
      </c>
      <c r="C113" t="str">
        <f>VLOOKUP(B113,_Pitch!$A$2:$B$129,2,FALSE)</f>
        <v>D#7</v>
      </c>
      <c r="D113" s="14"/>
      <c r="E113" s="14"/>
      <c r="F113" s="14"/>
    </row>
    <row r="114" spans="1:6">
      <c r="A114" s="7">
        <v>112</v>
      </c>
      <c r="B114" s="7">
        <v>112</v>
      </c>
      <c r="C114" t="str">
        <f>VLOOKUP(B114,_Pitch!$A$2:$B$129,2,FALSE)</f>
        <v>E7</v>
      </c>
      <c r="D114" s="14"/>
      <c r="E114" s="14"/>
      <c r="F114" s="14"/>
    </row>
    <row r="115" spans="1:6">
      <c r="A115" s="7">
        <v>113</v>
      </c>
      <c r="B115" s="7">
        <v>113</v>
      </c>
      <c r="C115" t="str">
        <f>VLOOKUP(B115,_Pitch!$A$2:$B$129,2,FALSE)</f>
        <v>F7</v>
      </c>
      <c r="D115" s="14"/>
      <c r="E115" s="14"/>
      <c r="F115" s="14"/>
    </row>
    <row r="116" spans="1:6">
      <c r="A116" s="7">
        <v>114</v>
      </c>
      <c r="B116" s="7">
        <v>114</v>
      </c>
      <c r="C116" t="str">
        <f>VLOOKUP(B116,_Pitch!$A$2:$B$129,2,FALSE)</f>
        <v>F#7</v>
      </c>
      <c r="D116" s="14"/>
      <c r="E116" s="14"/>
      <c r="F116" s="14"/>
    </row>
    <row r="117" spans="1:6">
      <c r="A117" s="7">
        <v>115</v>
      </c>
      <c r="B117" s="7">
        <v>115</v>
      </c>
      <c r="C117" t="str">
        <f>VLOOKUP(B117,_Pitch!$A$2:$B$129,2,FALSE)</f>
        <v>G7</v>
      </c>
      <c r="D117" s="14"/>
      <c r="E117" s="14"/>
      <c r="F117" s="14"/>
    </row>
    <row r="118" spans="1:6">
      <c r="A118" s="7">
        <v>116</v>
      </c>
      <c r="B118" s="7">
        <v>116</v>
      </c>
      <c r="C118" t="str">
        <f>VLOOKUP(B118,_Pitch!$A$2:$B$129,2,FALSE)</f>
        <v>G#7</v>
      </c>
      <c r="D118" s="14"/>
      <c r="E118" s="14"/>
      <c r="F118" s="14"/>
    </row>
    <row r="119" spans="1:6">
      <c r="A119" s="7">
        <v>117</v>
      </c>
      <c r="B119" s="7">
        <v>117</v>
      </c>
      <c r="C119" t="str">
        <f>VLOOKUP(B119,_Pitch!$A$2:$B$129,2,FALSE)</f>
        <v>A7</v>
      </c>
      <c r="D119" s="14"/>
      <c r="E119" s="14"/>
      <c r="F119" s="14"/>
    </row>
    <row r="120" spans="1:6">
      <c r="A120" s="7">
        <v>118</v>
      </c>
      <c r="B120" s="7">
        <v>118</v>
      </c>
      <c r="C120" t="str">
        <f>VLOOKUP(B120,_Pitch!$A$2:$B$129,2,FALSE)</f>
        <v>A#7</v>
      </c>
      <c r="D120" s="14"/>
      <c r="E120" s="14"/>
      <c r="F120" s="14"/>
    </row>
    <row r="121" spans="1:6">
      <c r="A121" s="7">
        <v>119</v>
      </c>
      <c r="B121" s="7">
        <v>119</v>
      </c>
      <c r="C121" t="str">
        <f>VLOOKUP(B121,_Pitch!$A$2:$B$129,2,FALSE)</f>
        <v>B7</v>
      </c>
      <c r="D121" s="14"/>
      <c r="E121" s="14"/>
      <c r="F121" s="14"/>
    </row>
    <row r="122" spans="1:6">
      <c r="A122" s="7">
        <v>120</v>
      </c>
      <c r="B122" s="7">
        <v>120</v>
      </c>
      <c r="C122" t="str">
        <f>VLOOKUP(B122,_Pitch!$A$2:$B$129,2,FALSE)</f>
        <v>C8</v>
      </c>
      <c r="D122" s="14"/>
      <c r="E122" s="14"/>
      <c r="F122" s="14"/>
    </row>
    <row r="123" spans="1:6">
      <c r="A123" s="7">
        <v>121</v>
      </c>
      <c r="B123" s="7">
        <v>121</v>
      </c>
      <c r="C123" t="str">
        <f>VLOOKUP(B123,_Pitch!$A$2:$B$129,2,FALSE)</f>
        <v>C#8</v>
      </c>
      <c r="D123" s="14"/>
      <c r="E123" s="14"/>
      <c r="F123" s="14"/>
    </row>
    <row r="124" spans="1:6">
      <c r="A124" s="7">
        <v>122</v>
      </c>
      <c r="B124" s="7">
        <v>122</v>
      </c>
      <c r="C124" t="str">
        <f>VLOOKUP(B124,_Pitch!$A$2:$B$129,2,FALSE)</f>
        <v>D8</v>
      </c>
      <c r="D124" s="14"/>
      <c r="E124" s="14"/>
      <c r="F124" s="14"/>
    </row>
    <row r="125" spans="1:6">
      <c r="A125" s="7">
        <v>123</v>
      </c>
      <c r="B125" s="7">
        <v>123</v>
      </c>
      <c r="C125" t="str">
        <f>VLOOKUP(B125,_Pitch!$A$2:$B$129,2,FALSE)</f>
        <v>D#8</v>
      </c>
      <c r="D125" s="14"/>
      <c r="E125" s="14"/>
      <c r="F125" s="14"/>
    </row>
    <row r="126" spans="1:6">
      <c r="A126" s="7">
        <v>124</v>
      </c>
      <c r="B126" s="7">
        <v>124</v>
      </c>
      <c r="C126" t="str">
        <f>VLOOKUP(B126,_Pitch!$A$2:$B$129,2,FALSE)</f>
        <v>E8</v>
      </c>
      <c r="D126" s="14"/>
      <c r="E126" s="14"/>
      <c r="F126" s="14"/>
    </row>
    <row r="127" spans="1:6">
      <c r="A127" s="7">
        <v>125</v>
      </c>
      <c r="B127" s="7">
        <v>125</v>
      </c>
      <c r="C127" t="str">
        <f>VLOOKUP(B127,_Pitch!$A$2:$B$129,2,FALSE)</f>
        <v>F8</v>
      </c>
      <c r="D127" s="14"/>
      <c r="E127" s="14"/>
      <c r="F127" s="14"/>
    </row>
    <row r="128" spans="1:6">
      <c r="A128" s="7">
        <v>126</v>
      </c>
      <c r="B128" s="7">
        <v>126</v>
      </c>
      <c r="C128" t="str">
        <f>VLOOKUP(B128,_Pitch!$A$2:$B$129,2,FALSE)</f>
        <v>F#8</v>
      </c>
      <c r="D128" s="14"/>
      <c r="E128" s="14"/>
      <c r="F128" s="14"/>
    </row>
    <row r="129" spans="1:6">
      <c r="A129" s="7">
        <v>127</v>
      </c>
      <c r="B129" s="7">
        <v>127</v>
      </c>
      <c r="C129" t="str">
        <f>VLOOKUP(B129,_Pitch!$A$2:$B$129,2,FALSE)</f>
        <v>G8</v>
      </c>
      <c r="D129" s="14"/>
      <c r="E129" s="14"/>
      <c r="F129" s="14"/>
    </row>
  </sheetData>
  <autoFilter ref="A1:G129" xr:uid="{BFCA2928-6345-430A-9085-5F6EE1DEBBF9}"/>
  <phoneticPr fontId="1"/>
  <dataValidations count="1">
    <dataValidation type="list" allowBlank="1" showInputMessage="1" showErrorMessage="1" sqref="F2:F129" xr:uid="{42AC6250-2614-4B3B-BE90-6AD6935150CB}">
      <formula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D8D15716-9748-4FD2-BB96-2061F965AAA4}">
          <x14:formula1>
            <xm:f>_Articulation!$B$2:B$158</xm:f>
          </x14:formula1>
          <xm:sqref>E2:E129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08EA9-427C-4567-A63F-0D7BDEC5500E}">
  <sheetPr codeName="Sheet27"/>
  <dimension ref="A1:G129"/>
  <sheetViews>
    <sheetView workbookViewId="0">
      <pane ySplit="1" topLeftCell="A2" activePane="bottomLeft" state="frozen"/>
      <selection activeCell="D14" sqref="D14"/>
      <selection pane="bottomLeft" activeCell="D14" sqref="D14"/>
    </sheetView>
  </sheetViews>
  <sheetFormatPr defaultRowHeight="13.5"/>
  <cols>
    <col min="1" max="1" width="4.5" style="7" bestFit="1" customWidth="1"/>
    <col min="2" max="2" width="4.5" bestFit="1" customWidth="1"/>
    <col min="3" max="3" width="5.5" bestFit="1" customWidth="1"/>
    <col min="4" max="4" width="45.625" customWidth="1"/>
    <col min="5" max="5" width="28.25" customWidth="1"/>
    <col min="6" max="6" width="10.25" customWidth="1"/>
  </cols>
  <sheetData>
    <row r="1" spans="1:7" s="6" customFormat="1" ht="141.75" customHeight="1">
      <c r="A1" s="15" t="s">
        <v>130</v>
      </c>
      <c r="B1" s="15" t="s">
        <v>1105</v>
      </c>
      <c r="C1" s="15" t="s">
        <v>1106</v>
      </c>
      <c r="D1" s="16" t="s">
        <v>131</v>
      </c>
      <c r="E1" s="23" t="s">
        <v>132</v>
      </c>
      <c r="F1" s="17" t="s">
        <v>664</v>
      </c>
      <c r="G1" s="15" t="s">
        <v>696</v>
      </c>
    </row>
    <row r="2" spans="1:7">
      <c r="A2" s="7">
        <v>0</v>
      </c>
      <c r="B2" s="7">
        <v>0</v>
      </c>
      <c r="C2" t="str">
        <f>VLOOKUP(B2,_Pitch!$A$2:$B$129,2,FALSE)</f>
        <v>C-2</v>
      </c>
      <c r="D2" s="14"/>
      <c r="E2" s="14"/>
      <c r="F2" s="14"/>
    </row>
    <row r="3" spans="1:7">
      <c r="A3" s="7">
        <v>1</v>
      </c>
      <c r="B3" s="7">
        <v>1</v>
      </c>
      <c r="C3" t="str">
        <f>VLOOKUP(B3,_Pitch!$A$2:$B$129,2,FALSE)</f>
        <v>C#-2</v>
      </c>
      <c r="D3" s="14"/>
      <c r="E3" s="14"/>
      <c r="F3" s="14"/>
    </row>
    <row r="4" spans="1:7">
      <c r="A4" s="7">
        <v>2</v>
      </c>
      <c r="B4" s="7">
        <v>2</v>
      </c>
      <c r="C4" t="str">
        <f>VLOOKUP(B4,_Pitch!$A$2:$B$129,2,FALSE)</f>
        <v>D-2</v>
      </c>
      <c r="D4" s="14"/>
      <c r="E4" s="14"/>
      <c r="F4" s="14"/>
    </row>
    <row r="5" spans="1:7">
      <c r="A5" s="7">
        <v>3</v>
      </c>
      <c r="B5" s="7">
        <v>3</v>
      </c>
      <c r="C5" t="str">
        <f>VLOOKUP(B5,_Pitch!$A$2:$B$129,2,FALSE)</f>
        <v>D#-2</v>
      </c>
      <c r="D5" s="14"/>
      <c r="E5" s="14"/>
      <c r="F5" s="14"/>
    </row>
    <row r="6" spans="1:7">
      <c r="A6" s="7">
        <v>4</v>
      </c>
      <c r="B6" s="7">
        <v>4</v>
      </c>
      <c r="C6" t="str">
        <f>VLOOKUP(B6,_Pitch!$A$2:$B$129,2,FALSE)</f>
        <v>E-2</v>
      </c>
      <c r="D6" s="14"/>
      <c r="E6" s="14"/>
      <c r="F6" s="14"/>
    </row>
    <row r="7" spans="1:7">
      <c r="A7" s="7">
        <v>5</v>
      </c>
      <c r="B7" s="7">
        <v>5</v>
      </c>
      <c r="C7" t="str">
        <f>VLOOKUP(B7,_Pitch!$A$2:$B$129,2,FALSE)</f>
        <v>F-2</v>
      </c>
      <c r="D7" s="14"/>
      <c r="E7" s="14"/>
      <c r="F7" s="14"/>
    </row>
    <row r="8" spans="1:7">
      <c r="A8" s="7">
        <v>6</v>
      </c>
      <c r="B8" s="7">
        <v>6</v>
      </c>
      <c r="C8" t="str">
        <f>VLOOKUP(B8,_Pitch!$A$2:$B$129,2,FALSE)</f>
        <v>F#-2</v>
      </c>
      <c r="D8" s="14"/>
      <c r="E8" s="14"/>
      <c r="F8" s="14"/>
    </row>
    <row r="9" spans="1:7">
      <c r="A9" s="7">
        <v>7</v>
      </c>
      <c r="B9" s="7">
        <v>7</v>
      </c>
      <c r="C9" t="str">
        <f>VLOOKUP(B9,_Pitch!$A$2:$B$129,2,FALSE)</f>
        <v>G-2</v>
      </c>
      <c r="D9" s="14"/>
      <c r="E9" s="14"/>
      <c r="F9" s="14"/>
    </row>
    <row r="10" spans="1:7">
      <c r="A10" s="7">
        <v>8</v>
      </c>
      <c r="B10" s="7">
        <v>8</v>
      </c>
      <c r="C10" t="str">
        <f>VLOOKUP(B10,_Pitch!$A$2:$B$129,2,FALSE)</f>
        <v>G#-2</v>
      </c>
      <c r="D10" s="14"/>
      <c r="E10" s="14"/>
      <c r="F10" s="14"/>
    </row>
    <row r="11" spans="1:7">
      <c r="A11" s="7">
        <v>9</v>
      </c>
      <c r="B11" s="7">
        <v>9</v>
      </c>
      <c r="C11" t="str">
        <f>VLOOKUP(B11,_Pitch!$A$2:$B$129,2,FALSE)</f>
        <v>A-2</v>
      </c>
      <c r="D11" s="14"/>
      <c r="E11" s="14"/>
      <c r="F11" s="14"/>
    </row>
    <row r="12" spans="1:7">
      <c r="A12" s="7">
        <v>10</v>
      </c>
      <c r="B12" s="7">
        <v>10</v>
      </c>
      <c r="C12" t="str">
        <f>VLOOKUP(B12,_Pitch!$A$2:$B$129,2,FALSE)</f>
        <v>A#-2</v>
      </c>
      <c r="D12" s="14"/>
      <c r="E12" s="14"/>
      <c r="F12" s="14"/>
    </row>
    <row r="13" spans="1:7">
      <c r="A13" s="7">
        <v>11</v>
      </c>
      <c r="B13" s="7">
        <v>11</v>
      </c>
      <c r="C13" t="str">
        <f>VLOOKUP(B13,_Pitch!$A$2:$B$129,2,FALSE)</f>
        <v>B-2</v>
      </c>
      <c r="D13" s="14"/>
      <c r="E13" s="14"/>
      <c r="F13" s="14"/>
    </row>
    <row r="14" spans="1:7">
      <c r="A14" s="7">
        <v>12</v>
      </c>
      <c r="B14" s="7">
        <v>12</v>
      </c>
      <c r="C14" t="str">
        <f>VLOOKUP(B14,_Pitch!$A$2:$B$129,2,FALSE)</f>
        <v>C-1</v>
      </c>
      <c r="D14" s="14" t="s">
        <v>737</v>
      </c>
      <c r="E14" s="14" t="s">
        <v>204</v>
      </c>
      <c r="F14" s="14"/>
    </row>
    <row r="15" spans="1:7">
      <c r="A15" s="7">
        <v>13</v>
      </c>
      <c r="B15" s="7">
        <v>13</v>
      </c>
      <c r="C15" t="str">
        <f>VLOOKUP(B15,_Pitch!$A$2:$B$129,2,FALSE)</f>
        <v>C#-1</v>
      </c>
      <c r="D15" s="14"/>
      <c r="E15" s="14"/>
      <c r="F15" s="14"/>
    </row>
    <row r="16" spans="1:7">
      <c r="A16" s="7">
        <v>14</v>
      </c>
      <c r="B16" s="7">
        <v>14</v>
      </c>
      <c r="C16" t="str">
        <f>VLOOKUP(B16,_Pitch!$A$2:$B$129,2,FALSE)</f>
        <v>D-1</v>
      </c>
      <c r="D16" s="14" t="s">
        <v>738</v>
      </c>
      <c r="E16" s="14" t="s">
        <v>199</v>
      </c>
      <c r="F16" s="14"/>
    </row>
    <row r="17" spans="1:6">
      <c r="A17" s="7">
        <v>15</v>
      </c>
      <c r="B17" s="7">
        <v>15</v>
      </c>
      <c r="C17" t="str">
        <f>VLOOKUP(B17,_Pitch!$A$2:$B$129,2,FALSE)</f>
        <v>D#-1</v>
      </c>
      <c r="D17" s="14"/>
      <c r="E17" s="14"/>
      <c r="F17" s="14"/>
    </row>
    <row r="18" spans="1:6">
      <c r="A18" s="7">
        <v>16</v>
      </c>
      <c r="B18" s="7">
        <v>16</v>
      </c>
      <c r="C18" t="str">
        <f>VLOOKUP(B18,_Pitch!$A$2:$B$129,2,FALSE)</f>
        <v>E-1</v>
      </c>
      <c r="D18" s="14" t="s">
        <v>739</v>
      </c>
      <c r="E18" s="14" t="s">
        <v>1003</v>
      </c>
      <c r="F18" s="14"/>
    </row>
    <row r="19" spans="1:6">
      <c r="A19" s="7">
        <v>17</v>
      </c>
      <c r="B19" s="7">
        <v>17</v>
      </c>
      <c r="C19" t="str">
        <f>VLOOKUP(B19,_Pitch!$A$2:$B$129,2,FALSE)</f>
        <v>F-1</v>
      </c>
      <c r="D19" s="14"/>
      <c r="E19" s="14"/>
      <c r="F19" s="14"/>
    </row>
    <row r="20" spans="1:6">
      <c r="A20" s="7">
        <v>18</v>
      </c>
      <c r="B20" s="7">
        <v>18</v>
      </c>
      <c r="C20" t="str">
        <f>VLOOKUP(B20,_Pitch!$A$2:$B$129,2,FALSE)</f>
        <v>F#-1</v>
      </c>
      <c r="D20" s="14"/>
      <c r="E20" s="14"/>
      <c r="F20" s="14"/>
    </row>
    <row r="21" spans="1:6">
      <c r="A21" s="7">
        <v>19</v>
      </c>
      <c r="B21" s="7">
        <v>19</v>
      </c>
      <c r="C21" t="str">
        <f>VLOOKUP(B21,_Pitch!$A$2:$B$129,2,FALSE)</f>
        <v>G-1</v>
      </c>
      <c r="D21" s="14" t="s">
        <v>740</v>
      </c>
      <c r="E21" s="14" t="s">
        <v>998</v>
      </c>
      <c r="F21" s="14"/>
    </row>
    <row r="22" spans="1:6">
      <c r="A22" s="7">
        <v>20</v>
      </c>
      <c r="B22" s="7">
        <v>20</v>
      </c>
      <c r="C22" t="str">
        <f>VLOOKUP(B22,_Pitch!$A$2:$B$129,2,FALSE)</f>
        <v>G#-1</v>
      </c>
      <c r="D22" s="14" t="s">
        <v>741</v>
      </c>
      <c r="E22" s="14" t="s">
        <v>796</v>
      </c>
      <c r="F22" s="14"/>
    </row>
    <row r="23" spans="1:6">
      <c r="A23" s="7">
        <v>21</v>
      </c>
      <c r="B23" s="7">
        <v>21</v>
      </c>
      <c r="C23" t="str">
        <f>VLOOKUP(B23,_Pitch!$A$2:$B$129,2,FALSE)</f>
        <v>A-1</v>
      </c>
      <c r="D23" s="14" t="s">
        <v>742</v>
      </c>
      <c r="E23" s="14" t="s">
        <v>565</v>
      </c>
      <c r="F23" s="14"/>
    </row>
    <row r="24" spans="1:6">
      <c r="A24" s="7">
        <v>22</v>
      </c>
      <c r="B24" s="7">
        <v>22</v>
      </c>
      <c r="C24" t="str">
        <f>VLOOKUP(B24,_Pitch!$A$2:$B$129,2,FALSE)</f>
        <v>A#-1</v>
      </c>
      <c r="D24" s="14" t="s">
        <v>743</v>
      </c>
      <c r="E24" s="14" t="s">
        <v>149</v>
      </c>
      <c r="F24" s="14"/>
    </row>
    <row r="25" spans="1:6">
      <c r="A25" s="7">
        <v>23</v>
      </c>
      <c r="B25" s="7">
        <v>23</v>
      </c>
      <c r="C25" t="str">
        <f>VLOOKUP(B25,_Pitch!$A$2:$B$129,2,FALSE)</f>
        <v>B-1</v>
      </c>
      <c r="D25" s="14"/>
      <c r="E25" s="14"/>
      <c r="F25" s="14"/>
    </row>
    <row r="26" spans="1:6">
      <c r="A26" s="7">
        <v>24</v>
      </c>
      <c r="B26" s="7">
        <v>24</v>
      </c>
      <c r="C26" t="str">
        <f>VLOOKUP(B26,_Pitch!$A$2:$B$129,2,FALSE)</f>
        <v>C0</v>
      </c>
      <c r="D26" s="14"/>
      <c r="E26" s="14"/>
      <c r="F26" s="14"/>
    </row>
    <row r="27" spans="1:6">
      <c r="A27" s="7">
        <v>25</v>
      </c>
      <c r="B27" s="7">
        <v>25</v>
      </c>
      <c r="C27" t="str">
        <f>VLOOKUP(B27,_Pitch!$A$2:$B$129,2,FALSE)</f>
        <v>C#0</v>
      </c>
      <c r="D27" s="14"/>
      <c r="E27" s="14"/>
      <c r="F27" s="14"/>
    </row>
    <row r="28" spans="1:6">
      <c r="A28" s="7">
        <v>26</v>
      </c>
      <c r="B28" s="7">
        <v>26</v>
      </c>
      <c r="C28" t="str">
        <f>VLOOKUP(B28,_Pitch!$A$2:$B$129,2,FALSE)</f>
        <v>D0</v>
      </c>
      <c r="D28" s="14" t="s">
        <v>744</v>
      </c>
      <c r="E28" s="14"/>
      <c r="F28" s="14"/>
    </row>
    <row r="29" spans="1:6">
      <c r="A29" s="7">
        <v>27</v>
      </c>
      <c r="B29" s="7">
        <v>27</v>
      </c>
      <c r="C29" t="str">
        <f>VLOOKUP(B29,_Pitch!$A$2:$B$129,2,FALSE)</f>
        <v>D#0</v>
      </c>
      <c r="D29" s="14"/>
      <c r="E29" s="14"/>
      <c r="F29" s="14"/>
    </row>
    <row r="30" spans="1:6">
      <c r="A30" s="7">
        <v>28</v>
      </c>
      <c r="B30" s="7">
        <v>28</v>
      </c>
      <c r="C30" t="str">
        <f>VLOOKUP(B30,_Pitch!$A$2:$B$129,2,FALSE)</f>
        <v>E0</v>
      </c>
      <c r="D30" s="14"/>
      <c r="E30" s="14"/>
      <c r="F30" s="14"/>
    </row>
    <row r="31" spans="1:6">
      <c r="A31" s="7">
        <v>29</v>
      </c>
      <c r="B31" s="7">
        <v>29</v>
      </c>
      <c r="C31" t="str">
        <f>VLOOKUP(B31,_Pitch!$A$2:$B$129,2,FALSE)</f>
        <v>F0</v>
      </c>
      <c r="D31" s="14"/>
      <c r="E31" s="14"/>
      <c r="F31" s="14"/>
    </row>
    <row r="32" spans="1:6">
      <c r="A32" s="7">
        <v>30</v>
      </c>
      <c r="B32" s="7">
        <v>30</v>
      </c>
      <c r="C32" t="str">
        <f>VLOOKUP(B32,_Pitch!$A$2:$B$129,2,FALSE)</f>
        <v>F#0</v>
      </c>
      <c r="D32" s="14"/>
      <c r="E32" s="14"/>
      <c r="F32" s="14"/>
    </row>
    <row r="33" spans="1:6">
      <c r="A33" s="7">
        <v>31</v>
      </c>
      <c r="B33" s="7">
        <v>31</v>
      </c>
      <c r="C33" t="str">
        <f>VLOOKUP(B33,_Pitch!$A$2:$B$129,2,FALSE)</f>
        <v>G0</v>
      </c>
      <c r="D33" s="14" t="s">
        <v>745</v>
      </c>
      <c r="E33" s="14" t="s">
        <v>916</v>
      </c>
      <c r="F33" s="14"/>
    </row>
    <row r="34" spans="1:6">
      <c r="A34" s="7">
        <v>32</v>
      </c>
      <c r="B34" s="7">
        <v>32</v>
      </c>
      <c r="C34" t="str">
        <f>VLOOKUP(B34,_Pitch!$A$2:$B$129,2,FALSE)</f>
        <v>G#0</v>
      </c>
      <c r="D34" s="14" t="s">
        <v>746</v>
      </c>
      <c r="E34" s="14" t="s">
        <v>919</v>
      </c>
      <c r="F34" s="14"/>
    </row>
    <row r="35" spans="1:6">
      <c r="A35" s="7">
        <v>33</v>
      </c>
      <c r="B35" s="7">
        <v>33</v>
      </c>
      <c r="C35" t="str">
        <f>VLOOKUP(B35,_Pitch!$A$2:$B$129,2,FALSE)</f>
        <v>A0</v>
      </c>
      <c r="D35" s="14" t="s">
        <v>747</v>
      </c>
      <c r="E35" s="14" t="s">
        <v>1072</v>
      </c>
      <c r="F35" s="14"/>
    </row>
    <row r="36" spans="1:6">
      <c r="A36" s="7">
        <v>34</v>
      </c>
      <c r="B36" s="7">
        <v>34</v>
      </c>
      <c r="C36" t="str">
        <f>VLOOKUP(B36,_Pitch!$A$2:$B$129,2,FALSE)</f>
        <v>A#0</v>
      </c>
      <c r="D36" s="14" t="s">
        <v>748</v>
      </c>
      <c r="E36" s="14" t="s">
        <v>138</v>
      </c>
      <c r="F36" s="14"/>
    </row>
    <row r="37" spans="1:6">
      <c r="A37" s="7">
        <v>35</v>
      </c>
      <c r="B37" s="7">
        <v>35</v>
      </c>
      <c r="C37" t="str">
        <f>VLOOKUP(B37,_Pitch!$A$2:$B$129,2,FALSE)</f>
        <v>B0</v>
      </c>
      <c r="D37" s="14" t="s">
        <v>749</v>
      </c>
      <c r="E37" s="14" t="s">
        <v>135</v>
      </c>
      <c r="F37" s="14"/>
    </row>
    <row r="38" spans="1:6">
      <c r="A38" s="7">
        <v>36</v>
      </c>
      <c r="B38" s="7">
        <v>36</v>
      </c>
      <c r="C38" t="str">
        <f>VLOOKUP(B38,_Pitch!$A$2:$B$129,2,FALSE)</f>
        <v>C1</v>
      </c>
      <c r="D38" s="14" t="s">
        <v>750</v>
      </c>
      <c r="E38" s="14" t="s">
        <v>133</v>
      </c>
      <c r="F38" s="14"/>
    </row>
    <row r="39" spans="1:6">
      <c r="A39" s="7">
        <v>37</v>
      </c>
      <c r="B39" s="7">
        <v>37</v>
      </c>
      <c r="C39" t="str">
        <f>VLOOKUP(B39,_Pitch!$A$2:$B$129,2,FALSE)</f>
        <v>C#1</v>
      </c>
      <c r="D39" s="14" t="s">
        <v>751</v>
      </c>
      <c r="E39" s="14" t="s">
        <v>145</v>
      </c>
      <c r="F39" s="14"/>
    </row>
    <row r="40" spans="1:6">
      <c r="A40" s="7">
        <v>38</v>
      </c>
      <c r="B40" s="7">
        <v>38</v>
      </c>
      <c r="C40" t="str">
        <f>VLOOKUP(B40,_Pitch!$A$2:$B$129,2,FALSE)</f>
        <v>D1</v>
      </c>
      <c r="D40" s="14" t="s">
        <v>752</v>
      </c>
      <c r="E40" s="14" t="s">
        <v>561</v>
      </c>
      <c r="F40" s="14"/>
    </row>
    <row r="41" spans="1:6">
      <c r="A41" s="7">
        <v>39</v>
      </c>
      <c r="B41" s="7">
        <v>39</v>
      </c>
      <c r="C41" t="str">
        <f>VLOOKUP(B41,_Pitch!$A$2:$B$129,2,FALSE)</f>
        <v>D#1</v>
      </c>
      <c r="D41" s="14" t="s">
        <v>753</v>
      </c>
      <c r="E41" s="14" t="s">
        <v>144</v>
      </c>
      <c r="F41" s="14"/>
    </row>
    <row r="42" spans="1:6">
      <c r="A42" s="7">
        <v>40</v>
      </c>
      <c r="B42" s="7">
        <v>40</v>
      </c>
      <c r="C42" t="str">
        <f>VLOOKUP(B42,_Pitch!$A$2:$B$129,2,FALSE)</f>
        <v>E1</v>
      </c>
      <c r="D42" s="14" t="s">
        <v>754</v>
      </c>
      <c r="E42" s="14" t="s">
        <v>1077</v>
      </c>
      <c r="F42" s="14"/>
    </row>
    <row r="43" spans="1:6">
      <c r="A43" s="7">
        <v>41</v>
      </c>
      <c r="B43" s="7">
        <v>41</v>
      </c>
      <c r="C43" t="str">
        <f>VLOOKUP(B43,_Pitch!$A$2:$B$129,2,FALSE)</f>
        <v>F1</v>
      </c>
      <c r="D43" s="14" t="s">
        <v>755</v>
      </c>
      <c r="E43" s="14" t="s">
        <v>557</v>
      </c>
      <c r="F43" s="14"/>
    </row>
    <row r="44" spans="1:6">
      <c r="A44" s="7">
        <v>42</v>
      </c>
      <c r="B44" s="7">
        <v>42</v>
      </c>
      <c r="C44" t="str">
        <f>VLOOKUP(B44,_Pitch!$A$2:$B$129,2,FALSE)</f>
        <v>F#1</v>
      </c>
      <c r="D44" s="14" t="s">
        <v>756</v>
      </c>
      <c r="E44" s="14" t="s">
        <v>153</v>
      </c>
      <c r="F44" s="14"/>
    </row>
    <row r="45" spans="1:6">
      <c r="A45" s="7">
        <v>43</v>
      </c>
      <c r="B45" s="7">
        <v>43</v>
      </c>
      <c r="C45" t="str">
        <f>VLOOKUP(B45,_Pitch!$A$2:$B$129,2,FALSE)</f>
        <v>G1</v>
      </c>
      <c r="D45" s="14" t="s">
        <v>757</v>
      </c>
      <c r="E45" s="14" t="s">
        <v>558</v>
      </c>
      <c r="F45" s="14"/>
    </row>
    <row r="46" spans="1:6">
      <c r="A46" s="7">
        <v>44</v>
      </c>
      <c r="B46" s="7">
        <v>44</v>
      </c>
      <c r="C46" t="str">
        <f>VLOOKUP(B46,_Pitch!$A$2:$B$129,2,FALSE)</f>
        <v>G#1</v>
      </c>
      <c r="D46" s="14" t="s">
        <v>758</v>
      </c>
      <c r="E46" s="14" t="s">
        <v>1068</v>
      </c>
      <c r="F46" s="14"/>
    </row>
    <row r="47" spans="1:6">
      <c r="A47" s="7">
        <v>45</v>
      </c>
      <c r="B47" s="7">
        <v>45</v>
      </c>
      <c r="C47" t="str">
        <f>VLOOKUP(B47,_Pitch!$A$2:$B$129,2,FALSE)</f>
        <v>A1</v>
      </c>
      <c r="D47" s="14"/>
      <c r="E47" s="14"/>
      <c r="F47" s="14"/>
    </row>
    <row r="48" spans="1:6">
      <c r="A48" s="7">
        <v>46</v>
      </c>
      <c r="B48" s="7">
        <v>46</v>
      </c>
      <c r="C48" t="str">
        <f>VLOOKUP(B48,_Pitch!$A$2:$B$129,2,FALSE)</f>
        <v>A#1</v>
      </c>
      <c r="D48" s="14" t="s">
        <v>759</v>
      </c>
      <c r="E48" s="14" t="s">
        <v>403</v>
      </c>
      <c r="F48" s="14"/>
    </row>
    <row r="49" spans="1:6">
      <c r="A49" s="7">
        <v>47</v>
      </c>
      <c r="B49" s="7">
        <v>47</v>
      </c>
      <c r="C49" t="str">
        <f>VLOOKUP(B49,_Pitch!$A$2:$B$129,2,FALSE)</f>
        <v>B1</v>
      </c>
      <c r="D49" s="14" t="s">
        <v>760</v>
      </c>
      <c r="E49" s="14" t="s">
        <v>559</v>
      </c>
      <c r="F49" s="14"/>
    </row>
    <row r="50" spans="1:6">
      <c r="A50" s="7">
        <v>48</v>
      </c>
      <c r="B50" s="7">
        <v>48</v>
      </c>
      <c r="C50" t="str">
        <f>VLOOKUP(B50,_Pitch!$A$2:$B$129,2,FALSE)</f>
        <v>C2</v>
      </c>
      <c r="D50" s="14" t="s">
        <v>761</v>
      </c>
      <c r="E50" s="14" t="s">
        <v>560</v>
      </c>
      <c r="F50" s="14"/>
    </row>
    <row r="51" spans="1:6">
      <c r="A51" s="7">
        <v>49</v>
      </c>
      <c r="B51" s="7">
        <v>49</v>
      </c>
      <c r="C51" t="str">
        <f>VLOOKUP(B51,_Pitch!$A$2:$B$129,2,FALSE)</f>
        <v>C#2</v>
      </c>
      <c r="D51" s="14" t="s">
        <v>762</v>
      </c>
      <c r="E51" s="14" t="s">
        <v>914</v>
      </c>
      <c r="F51" s="14"/>
    </row>
    <row r="52" spans="1:6">
      <c r="A52" s="7">
        <v>50</v>
      </c>
      <c r="B52" s="7">
        <v>50</v>
      </c>
      <c r="C52" t="str">
        <f>VLOOKUP(B52,_Pitch!$A$2:$B$129,2,FALSE)</f>
        <v>D2</v>
      </c>
      <c r="D52" s="14" t="s">
        <v>763</v>
      </c>
      <c r="E52" s="14" t="s">
        <v>911</v>
      </c>
      <c r="F52" s="14"/>
    </row>
    <row r="53" spans="1:6">
      <c r="A53" s="7">
        <v>51</v>
      </c>
      <c r="B53" s="7">
        <v>51</v>
      </c>
      <c r="C53" t="str">
        <f>VLOOKUP(B53,_Pitch!$A$2:$B$129,2,FALSE)</f>
        <v>D#2</v>
      </c>
      <c r="D53" s="14" t="s">
        <v>764</v>
      </c>
      <c r="E53" s="14" t="s">
        <v>175</v>
      </c>
      <c r="F53" s="14"/>
    </row>
    <row r="54" spans="1:6">
      <c r="A54" s="7">
        <v>52</v>
      </c>
      <c r="B54" s="7">
        <v>52</v>
      </c>
      <c r="C54" t="str">
        <f>VLOOKUP(B54,_Pitch!$A$2:$B$129,2,FALSE)</f>
        <v>E2</v>
      </c>
      <c r="D54" s="14" t="s">
        <v>765</v>
      </c>
      <c r="E54" s="14" t="s">
        <v>179</v>
      </c>
      <c r="F54" s="14"/>
    </row>
    <row r="55" spans="1:6">
      <c r="A55" s="7">
        <v>53</v>
      </c>
      <c r="B55" s="7">
        <v>53</v>
      </c>
      <c r="C55" t="str">
        <f>VLOOKUP(B55,_Pitch!$A$2:$B$129,2,FALSE)</f>
        <v>F2</v>
      </c>
      <c r="D55" s="14" t="s">
        <v>766</v>
      </c>
      <c r="E55" s="14" t="s">
        <v>181</v>
      </c>
      <c r="F55" s="14"/>
    </row>
    <row r="56" spans="1:6">
      <c r="A56" s="7">
        <v>54</v>
      </c>
      <c r="B56" s="7">
        <v>54</v>
      </c>
      <c r="C56" t="str">
        <f>VLOOKUP(B56,_Pitch!$A$2:$B$129,2,FALSE)</f>
        <v>F#2</v>
      </c>
      <c r="D56" s="14" t="s">
        <v>767</v>
      </c>
      <c r="E56" s="14" t="s">
        <v>210</v>
      </c>
      <c r="F56" s="14"/>
    </row>
    <row r="57" spans="1:6">
      <c r="A57" s="7">
        <v>55</v>
      </c>
      <c r="B57" s="7">
        <v>55</v>
      </c>
      <c r="C57" t="str">
        <f>VLOOKUP(B57,_Pitch!$A$2:$B$129,2,FALSE)</f>
        <v>G2</v>
      </c>
      <c r="D57" s="14" t="s">
        <v>768</v>
      </c>
      <c r="E57" s="14" t="s">
        <v>207</v>
      </c>
      <c r="F57" s="14"/>
    </row>
    <row r="58" spans="1:6">
      <c r="A58" s="7">
        <v>56</v>
      </c>
      <c r="B58" s="7">
        <v>56</v>
      </c>
      <c r="C58" t="str">
        <f>VLOOKUP(B58,_Pitch!$A$2:$B$129,2,FALSE)</f>
        <v>G#2</v>
      </c>
      <c r="D58" s="14" t="s">
        <v>769</v>
      </c>
      <c r="E58" s="14" t="s">
        <v>216</v>
      </c>
      <c r="F58" s="14"/>
    </row>
    <row r="59" spans="1:6">
      <c r="A59" s="7">
        <v>57</v>
      </c>
      <c r="B59" s="7">
        <v>57</v>
      </c>
      <c r="C59" t="str">
        <f>VLOOKUP(B59,_Pitch!$A$2:$B$129,2,FALSE)</f>
        <v>A2</v>
      </c>
      <c r="D59" s="14" t="s">
        <v>770</v>
      </c>
      <c r="E59" s="14" t="s">
        <v>569</v>
      </c>
      <c r="F59" s="14"/>
    </row>
    <row r="60" spans="1:6">
      <c r="A60" s="7">
        <v>58</v>
      </c>
      <c r="B60" s="7">
        <v>58</v>
      </c>
      <c r="C60" t="str">
        <f>VLOOKUP(B60,_Pitch!$A$2:$B$129,2,FALSE)</f>
        <v>A#2</v>
      </c>
      <c r="D60" s="14" t="s">
        <v>771</v>
      </c>
      <c r="E60" s="14" t="s">
        <v>183</v>
      </c>
      <c r="F60" s="14"/>
    </row>
    <row r="61" spans="1:6">
      <c r="A61" s="7">
        <v>59</v>
      </c>
      <c r="B61" s="7">
        <v>59</v>
      </c>
      <c r="C61" t="str">
        <f>VLOOKUP(B61,_Pitch!$A$2:$B$129,2,FALSE)</f>
        <v>B2</v>
      </c>
      <c r="D61" s="14" t="s">
        <v>772</v>
      </c>
      <c r="E61" s="14" t="s">
        <v>182</v>
      </c>
      <c r="F61" s="14"/>
    </row>
    <row r="62" spans="1:6">
      <c r="A62" s="7">
        <v>60</v>
      </c>
      <c r="B62" s="7">
        <v>60</v>
      </c>
      <c r="C62" t="str">
        <f>VLOOKUP(B62,_Pitch!$A$2:$B$129,2,FALSE)</f>
        <v>C3</v>
      </c>
      <c r="D62" s="14" t="s">
        <v>743</v>
      </c>
      <c r="E62" s="14" t="s">
        <v>149</v>
      </c>
      <c r="F62" s="14" t="s">
        <v>290</v>
      </c>
    </row>
    <row r="63" spans="1:6">
      <c r="A63" s="7">
        <v>61</v>
      </c>
      <c r="B63" s="7">
        <v>61</v>
      </c>
      <c r="C63" t="str">
        <f>VLOOKUP(B63,_Pitch!$A$2:$B$129,2,FALSE)</f>
        <v>C#3</v>
      </c>
      <c r="D63" s="14" t="s">
        <v>773</v>
      </c>
      <c r="E63" s="14" t="s">
        <v>159</v>
      </c>
      <c r="F63" s="14"/>
    </row>
    <row r="64" spans="1:6">
      <c r="A64" s="7">
        <v>62</v>
      </c>
      <c r="B64" s="7">
        <v>62</v>
      </c>
      <c r="C64" t="str">
        <f>VLOOKUP(B64,_Pitch!$A$2:$B$129,2,FALSE)</f>
        <v>D3</v>
      </c>
      <c r="D64" s="14" t="s">
        <v>774</v>
      </c>
      <c r="E64" s="14" t="s">
        <v>160</v>
      </c>
      <c r="F64" s="14"/>
    </row>
    <row r="65" spans="1:6">
      <c r="A65" s="7">
        <v>63</v>
      </c>
      <c r="B65" s="7">
        <v>63</v>
      </c>
      <c r="C65" t="str">
        <f>VLOOKUP(B65,_Pitch!$A$2:$B$129,2,FALSE)</f>
        <v>D#3</v>
      </c>
      <c r="D65" s="14" t="s">
        <v>775</v>
      </c>
      <c r="E65" s="14" t="s">
        <v>161</v>
      </c>
      <c r="F65" s="14"/>
    </row>
    <row r="66" spans="1:6">
      <c r="A66" s="7">
        <v>64</v>
      </c>
      <c r="B66" s="7">
        <v>64</v>
      </c>
      <c r="C66" t="str">
        <f>VLOOKUP(B66,_Pitch!$A$2:$B$129,2,FALSE)</f>
        <v>E3</v>
      </c>
      <c r="D66" s="14" t="s">
        <v>776</v>
      </c>
      <c r="E66" s="14" t="s">
        <v>162</v>
      </c>
      <c r="F66" s="14"/>
    </row>
    <row r="67" spans="1:6">
      <c r="A67" s="7">
        <v>65</v>
      </c>
      <c r="B67" s="7">
        <v>65</v>
      </c>
      <c r="C67" t="str">
        <f>VLOOKUP(B67,_Pitch!$A$2:$B$129,2,FALSE)</f>
        <v>F3</v>
      </c>
      <c r="D67" s="14" t="s">
        <v>777</v>
      </c>
      <c r="E67" s="14" t="s">
        <v>163</v>
      </c>
      <c r="F67" s="14"/>
    </row>
    <row r="68" spans="1:6">
      <c r="A68" s="7">
        <v>66</v>
      </c>
      <c r="B68" s="7">
        <v>66</v>
      </c>
      <c r="C68" t="str">
        <f>VLOOKUP(B68,_Pitch!$A$2:$B$129,2,FALSE)</f>
        <v>F#3</v>
      </c>
      <c r="D68" s="14" t="s">
        <v>756</v>
      </c>
      <c r="E68" s="14" t="s">
        <v>153</v>
      </c>
      <c r="F68" s="14" t="s">
        <v>290</v>
      </c>
    </row>
    <row r="69" spans="1:6">
      <c r="A69" s="7">
        <v>67</v>
      </c>
      <c r="B69" s="7">
        <v>67</v>
      </c>
      <c r="C69" t="str">
        <f>VLOOKUP(B69,_Pitch!$A$2:$B$129,2,FALSE)</f>
        <v>G3</v>
      </c>
      <c r="D69" s="14" t="s">
        <v>778</v>
      </c>
      <c r="E69" s="14" t="s">
        <v>165</v>
      </c>
      <c r="F69" s="14"/>
    </row>
    <row r="70" spans="1:6">
      <c r="A70" s="7">
        <v>68</v>
      </c>
      <c r="B70" s="7">
        <v>68</v>
      </c>
      <c r="C70" t="str">
        <f>VLOOKUP(B70,_Pitch!$A$2:$B$129,2,FALSE)</f>
        <v>G#3</v>
      </c>
      <c r="D70" s="14" t="s">
        <v>779</v>
      </c>
      <c r="E70" s="14" t="s">
        <v>166</v>
      </c>
      <c r="F70" s="14"/>
    </row>
    <row r="71" spans="1:6">
      <c r="A71" s="7">
        <v>69</v>
      </c>
      <c r="B71" s="7">
        <v>69</v>
      </c>
      <c r="C71" t="str">
        <f>VLOOKUP(B71,_Pitch!$A$2:$B$129,2,FALSE)</f>
        <v>A3</v>
      </c>
      <c r="D71" s="14" t="s">
        <v>780</v>
      </c>
      <c r="E71" s="14" t="s">
        <v>167</v>
      </c>
      <c r="F71" s="14"/>
    </row>
    <row r="72" spans="1:6">
      <c r="A72" s="7">
        <v>70</v>
      </c>
      <c r="B72" s="7">
        <v>70</v>
      </c>
      <c r="C72" t="str">
        <f>VLOOKUP(B72,_Pitch!$A$2:$B$129,2,FALSE)</f>
        <v>A#3</v>
      </c>
      <c r="D72" s="14" t="s">
        <v>781</v>
      </c>
      <c r="E72" s="14" t="s">
        <v>168</v>
      </c>
      <c r="F72" s="14"/>
    </row>
    <row r="73" spans="1:6">
      <c r="A73" s="7">
        <v>71</v>
      </c>
      <c r="B73" s="7">
        <v>71</v>
      </c>
      <c r="C73" t="str">
        <f>VLOOKUP(B73,_Pitch!$A$2:$B$129,2,FALSE)</f>
        <v>B3</v>
      </c>
      <c r="D73" s="14" t="s">
        <v>782</v>
      </c>
      <c r="E73" s="14" t="s">
        <v>169</v>
      </c>
      <c r="F73" s="14"/>
    </row>
    <row r="74" spans="1:6">
      <c r="A74" s="7">
        <v>72</v>
      </c>
      <c r="B74" s="7">
        <v>72</v>
      </c>
      <c r="C74" t="str">
        <f>VLOOKUP(B74,_Pitch!$A$2:$B$129,2,FALSE)</f>
        <v>C4</v>
      </c>
      <c r="D74" s="14" t="s">
        <v>758</v>
      </c>
      <c r="E74" s="14" t="s">
        <v>1068</v>
      </c>
      <c r="F74" s="14" t="s">
        <v>290</v>
      </c>
    </row>
    <row r="75" spans="1:6">
      <c r="A75" s="7">
        <v>73</v>
      </c>
      <c r="B75" s="7">
        <v>73</v>
      </c>
      <c r="C75" t="str">
        <f>VLOOKUP(B75,_Pitch!$A$2:$B$129,2,FALSE)</f>
        <v>C#4</v>
      </c>
      <c r="D75" s="14" t="s">
        <v>783</v>
      </c>
      <c r="E75" s="14" t="s">
        <v>794</v>
      </c>
      <c r="F75" s="14"/>
    </row>
    <row r="76" spans="1:6">
      <c r="A76" s="7">
        <v>74</v>
      </c>
      <c r="B76" s="7">
        <v>74</v>
      </c>
      <c r="C76" t="str">
        <f>VLOOKUP(B76,_Pitch!$A$2:$B$129,2,FALSE)</f>
        <v>D4</v>
      </c>
      <c r="D76" s="14" t="s">
        <v>784</v>
      </c>
      <c r="E76" s="14"/>
      <c r="F76" s="14"/>
    </row>
    <row r="77" spans="1:6">
      <c r="A77" s="7">
        <v>75</v>
      </c>
      <c r="B77" s="7">
        <v>75</v>
      </c>
      <c r="C77" t="str">
        <f>VLOOKUP(B77,_Pitch!$A$2:$B$129,2,FALSE)</f>
        <v>D#4</v>
      </c>
      <c r="D77" s="14" t="s">
        <v>785</v>
      </c>
      <c r="E77" s="14"/>
      <c r="F77" s="14"/>
    </row>
    <row r="78" spans="1:6">
      <c r="A78" s="7">
        <v>76</v>
      </c>
      <c r="B78" s="7">
        <v>76</v>
      </c>
      <c r="C78" t="str">
        <f>VLOOKUP(B78,_Pitch!$A$2:$B$129,2,FALSE)</f>
        <v>E4</v>
      </c>
      <c r="D78" s="14" t="s">
        <v>786</v>
      </c>
      <c r="E78" s="14"/>
      <c r="F78" s="14"/>
    </row>
    <row r="79" spans="1:6">
      <c r="A79" s="7">
        <v>77</v>
      </c>
      <c r="B79" s="7">
        <v>77</v>
      </c>
      <c r="C79" t="str">
        <f>VLOOKUP(B79,_Pitch!$A$2:$B$129,2,FALSE)</f>
        <v>F4</v>
      </c>
      <c r="D79" s="14" t="s">
        <v>787</v>
      </c>
      <c r="E79" s="14"/>
      <c r="F79" s="14"/>
    </row>
    <row r="80" spans="1:6">
      <c r="A80" s="7">
        <v>78</v>
      </c>
      <c r="B80" s="7">
        <v>78</v>
      </c>
      <c r="C80" t="str">
        <f>VLOOKUP(B80,_Pitch!$A$2:$B$129,2,FALSE)</f>
        <v>F#4</v>
      </c>
      <c r="D80" s="14" t="s">
        <v>788</v>
      </c>
      <c r="E80" s="14"/>
      <c r="F80" s="14"/>
    </row>
    <row r="81" spans="1:6">
      <c r="A81" s="7">
        <v>79</v>
      </c>
      <c r="B81" s="7">
        <v>79</v>
      </c>
      <c r="C81" t="str">
        <f>VLOOKUP(B81,_Pitch!$A$2:$B$129,2,FALSE)</f>
        <v>G4</v>
      </c>
      <c r="D81" s="14" t="s">
        <v>789</v>
      </c>
      <c r="E81" s="14"/>
      <c r="F81" s="14"/>
    </row>
    <row r="82" spans="1:6">
      <c r="A82" s="7">
        <v>80</v>
      </c>
      <c r="B82" s="7">
        <v>80</v>
      </c>
      <c r="C82" t="str">
        <f>VLOOKUP(B82,_Pitch!$A$2:$B$129,2,FALSE)</f>
        <v>G#4</v>
      </c>
      <c r="D82" s="14"/>
      <c r="E82" s="14"/>
      <c r="F82" s="14"/>
    </row>
    <row r="83" spans="1:6">
      <c r="A83" s="7">
        <v>81</v>
      </c>
      <c r="B83" s="7">
        <v>81</v>
      </c>
      <c r="C83" t="str">
        <f>VLOOKUP(B83,_Pitch!$A$2:$B$129,2,FALSE)</f>
        <v>A4</v>
      </c>
      <c r="D83" s="14"/>
      <c r="E83" s="14"/>
      <c r="F83" s="14"/>
    </row>
    <row r="84" spans="1:6">
      <c r="A84" s="7">
        <v>82</v>
      </c>
      <c r="B84" s="7">
        <v>82</v>
      </c>
      <c r="C84" t="str">
        <f>VLOOKUP(B84,_Pitch!$A$2:$B$129,2,FALSE)</f>
        <v>A#4</v>
      </c>
      <c r="D84" s="14"/>
      <c r="E84" s="14"/>
      <c r="F84" s="14"/>
    </row>
    <row r="85" spans="1:6">
      <c r="A85" s="7">
        <v>83</v>
      </c>
      <c r="B85" s="7">
        <v>83</v>
      </c>
      <c r="C85" t="str">
        <f>VLOOKUP(B85,_Pitch!$A$2:$B$129,2,FALSE)</f>
        <v>B4</v>
      </c>
      <c r="D85" s="14"/>
      <c r="E85" s="14"/>
      <c r="F85" s="14"/>
    </row>
    <row r="86" spans="1:6">
      <c r="A86" s="7">
        <v>84</v>
      </c>
      <c r="B86" s="7">
        <v>84</v>
      </c>
      <c r="C86" t="str">
        <f>VLOOKUP(B86,_Pitch!$A$2:$B$129,2,FALSE)</f>
        <v>C5</v>
      </c>
      <c r="D86" s="14"/>
      <c r="E86" s="14"/>
      <c r="F86" s="14"/>
    </row>
    <row r="87" spans="1:6">
      <c r="A87" s="7">
        <v>85</v>
      </c>
      <c r="B87" s="7">
        <v>85</v>
      </c>
      <c r="C87" t="str">
        <f>VLOOKUP(B87,_Pitch!$A$2:$B$129,2,FALSE)</f>
        <v>C#5</v>
      </c>
      <c r="D87" s="14"/>
      <c r="E87" s="14"/>
      <c r="F87" s="14"/>
    </row>
    <row r="88" spans="1:6">
      <c r="A88" s="7">
        <v>86</v>
      </c>
      <c r="B88" s="7">
        <v>86</v>
      </c>
      <c r="C88" t="str">
        <f>VLOOKUP(B88,_Pitch!$A$2:$B$129,2,FALSE)</f>
        <v>D5</v>
      </c>
      <c r="D88" s="14"/>
      <c r="E88" s="14"/>
      <c r="F88" s="14"/>
    </row>
    <row r="89" spans="1:6">
      <c r="A89" s="7">
        <v>87</v>
      </c>
      <c r="B89" s="7">
        <v>87</v>
      </c>
      <c r="C89" t="str">
        <f>VLOOKUP(B89,_Pitch!$A$2:$B$129,2,FALSE)</f>
        <v>D#5</v>
      </c>
      <c r="D89" s="14"/>
      <c r="E89" s="14"/>
      <c r="F89" s="14"/>
    </row>
    <row r="90" spans="1:6">
      <c r="A90" s="7">
        <v>88</v>
      </c>
      <c r="B90" s="7">
        <v>88</v>
      </c>
      <c r="C90" t="str">
        <f>VLOOKUP(B90,_Pitch!$A$2:$B$129,2,FALSE)</f>
        <v>E5</v>
      </c>
      <c r="D90" s="14"/>
      <c r="E90" s="14"/>
      <c r="F90" s="14"/>
    </row>
    <row r="91" spans="1:6">
      <c r="A91" s="7">
        <v>89</v>
      </c>
      <c r="B91" s="7">
        <v>89</v>
      </c>
      <c r="C91" t="str">
        <f>VLOOKUP(B91,_Pitch!$A$2:$B$129,2,FALSE)</f>
        <v>F5</v>
      </c>
      <c r="D91" s="14"/>
      <c r="E91" s="14"/>
      <c r="F91" s="14"/>
    </row>
    <row r="92" spans="1:6">
      <c r="A92" s="7">
        <v>90</v>
      </c>
      <c r="B92" s="7">
        <v>90</v>
      </c>
      <c r="C92" t="str">
        <f>VLOOKUP(B92,_Pitch!$A$2:$B$129,2,FALSE)</f>
        <v>F#5</v>
      </c>
      <c r="D92" s="14" t="s">
        <v>790</v>
      </c>
      <c r="E92" s="14" t="s">
        <v>910</v>
      </c>
      <c r="F92" s="14"/>
    </row>
    <row r="93" spans="1:6">
      <c r="A93" s="7">
        <v>91</v>
      </c>
      <c r="B93" s="7">
        <v>91</v>
      </c>
      <c r="C93" t="str">
        <f>VLOOKUP(B93,_Pitch!$A$2:$B$129,2,FALSE)</f>
        <v>G5</v>
      </c>
      <c r="D93" s="14" t="s">
        <v>791</v>
      </c>
      <c r="E93" s="14" t="s">
        <v>568</v>
      </c>
      <c r="F93" s="14"/>
    </row>
    <row r="94" spans="1:6">
      <c r="A94" s="7">
        <v>92</v>
      </c>
      <c r="B94" s="7">
        <v>92</v>
      </c>
      <c r="C94" t="str">
        <f>VLOOKUP(B94,_Pitch!$A$2:$B$129,2,FALSE)</f>
        <v>G#5</v>
      </c>
      <c r="D94" s="14" t="s">
        <v>792</v>
      </c>
      <c r="E94" s="14" t="s">
        <v>213</v>
      </c>
      <c r="F94" s="14"/>
    </row>
    <row r="95" spans="1:6">
      <c r="A95" s="7">
        <v>93</v>
      </c>
      <c r="B95" s="7">
        <v>93</v>
      </c>
      <c r="C95" t="str">
        <f>VLOOKUP(B95,_Pitch!$A$2:$B$129,2,FALSE)</f>
        <v>A5</v>
      </c>
      <c r="D95" s="14" t="s">
        <v>793</v>
      </c>
      <c r="E95" s="14" t="s">
        <v>905</v>
      </c>
      <c r="F95" s="14"/>
    </row>
    <row r="96" spans="1:6">
      <c r="A96" s="7">
        <v>94</v>
      </c>
      <c r="B96" s="7">
        <v>94</v>
      </c>
      <c r="C96" t="str">
        <f>VLOOKUP(B96,_Pitch!$A$2:$B$129,2,FALSE)</f>
        <v>A#5</v>
      </c>
      <c r="D96" s="14"/>
      <c r="E96" s="14"/>
      <c r="F96" s="14"/>
    </row>
    <row r="97" spans="1:6">
      <c r="A97" s="7">
        <v>95</v>
      </c>
      <c r="B97" s="7">
        <v>95</v>
      </c>
      <c r="C97" t="str">
        <f>VLOOKUP(B97,_Pitch!$A$2:$B$129,2,FALSE)</f>
        <v>B5</v>
      </c>
      <c r="D97" s="14"/>
      <c r="E97" s="14"/>
      <c r="F97" s="14"/>
    </row>
    <row r="98" spans="1:6">
      <c r="A98" s="7">
        <v>96</v>
      </c>
      <c r="B98" s="7">
        <v>96</v>
      </c>
      <c r="C98" t="str">
        <f>VLOOKUP(B98,_Pitch!$A$2:$B$129,2,FALSE)</f>
        <v>C6</v>
      </c>
      <c r="D98" s="14"/>
      <c r="E98" s="14"/>
      <c r="F98" s="14"/>
    </row>
    <row r="99" spans="1:6">
      <c r="A99" s="7">
        <v>97</v>
      </c>
      <c r="B99" s="7">
        <v>97</v>
      </c>
      <c r="C99" t="str">
        <f>VLOOKUP(B99,_Pitch!$A$2:$B$129,2,FALSE)</f>
        <v>C#6</v>
      </c>
      <c r="D99" s="14"/>
      <c r="E99" s="14"/>
      <c r="F99" s="14"/>
    </row>
    <row r="100" spans="1:6">
      <c r="A100" s="7">
        <v>98</v>
      </c>
      <c r="B100" s="7">
        <v>98</v>
      </c>
      <c r="C100" t="str">
        <f>VLOOKUP(B100,_Pitch!$A$2:$B$129,2,FALSE)</f>
        <v>D6</v>
      </c>
      <c r="D100" s="14"/>
      <c r="E100" s="14"/>
      <c r="F100" s="14"/>
    </row>
    <row r="101" spans="1:6">
      <c r="A101" s="7">
        <v>99</v>
      </c>
      <c r="B101" s="7">
        <v>99</v>
      </c>
      <c r="C101" t="str">
        <f>VLOOKUP(B101,_Pitch!$A$2:$B$129,2,FALSE)</f>
        <v>D#6</v>
      </c>
      <c r="D101" s="14"/>
      <c r="E101" s="14"/>
      <c r="F101" s="14"/>
    </row>
    <row r="102" spans="1:6">
      <c r="A102" s="7">
        <v>100</v>
      </c>
      <c r="B102" s="7">
        <v>100</v>
      </c>
      <c r="C102" t="str">
        <f>VLOOKUP(B102,_Pitch!$A$2:$B$129,2,FALSE)</f>
        <v>E6</v>
      </c>
      <c r="D102" s="14"/>
      <c r="E102" s="14"/>
      <c r="F102" s="14"/>
    </row>
    <row r="103" spans="1:6">
      <c r="A103" s="7">
        <v>101</v>
      </c>
      <c r="B103" s="7">
        <v>101</v>
      </c>
      <c r="C103" t="str">
        <f>VLOOKUP(B103,_Pitch!$A$2:$B$129,2,FALSE)</f>
        <v>F6</v>
      </c>
      <c r="D103" s="14"/>
      <c r="E103" s="14"/>
      <c r="F103" s="14"/>
    </row>
    <row r="104" spans="1:6">
      <c r="A104" s="7">
        <v>102</v>
      </c>
      <c r="B104" s="7">
        <v>102</v>
      </c>
      <c r="C104" t="str">
        <f>VLOOKUP(B104,_Pitch!$A$2:$B$129,2,FALSE)</f>
        <v>F#6</v>
      </c>
      <c r="D104" s="14"/>
      <c r="E104" s="14"/>
      <c r="F104" s="14"/>
    </row>
    <row r="105" spans="1:6">
      <c r="A105" s="7">
        <v>103</v>
      </c>
      <c r="B105" s="7">
        <v>103</v>
      </c>
      <c r="C105" t="str">
        <f>VLOOKUP(B105,_Pitch!$A$2:$B$129,2,FALSE)</f>
        <v>G6</v>
      </c>
      <c r="D105" s="14"/>
      <c r="E105" s="14"/>
      <c r="F105" s="14"/>
    </row>
    <row r="106" spans="1:6">
      <c r="A106" s="7">
        <v>104</v>
      </c>
      <c r="B106" s="7">
        <v>104</v>
      </c>
      <c r="C106" t="str">
        <f>VLOOKUP(B106,_Pitch!$A$2:$B$129,2,FALSE)</f>
        <v>G#6</v>
      </c>
      <c r="D106" s="14"/>
      <c r="E106" s="14"/>
      <c r="F106" s="14"/>
    </row>
    <row r="107" spans="1:6">
      <c r="A107" s="7">
        <v>105</v>
      </c>
      <c r="B107" s="7">
        <v>105</v>
      </c>
      <c r="C107" t="str">
        <f>VLOOKUP(B107,_Pitch!$A$2:$B$129,2,FALSE)</f>
        <v>A6</v>
      </c>
      <c r="D107" s="14"/>
      <c r="E107" s="14"/>
      <c r="F107" s="14"/>
    </row>
    <row r="108" spans="1:6">
      <c r="A108" s="7">
        <v>106</v>
      </c>
      <c r="B108" s="7">
        <v>106</v>
      </c>
      <c r="C108" t="str">
        <f>VLOOKUP(B108,_Pitch!$A$2:$B$129,2,FALSE)</f>
        <v>A#6</v>
      </c>
      <c r="D108" s="14"/>
      <c r="E108" s="14"/>
      <c r="F108" s="14"/>
    </row>
    <row r="109" spans="1:6">
      <c r="A109" s="7">
        <v>107</v>
      </c>
      <c r="B109" s="7">
        <v>107</v>
      </c>
      <c r="C109" t="str">
        <f>VLOOKUP(B109,_Pitch!$A$2:$B$129,2,FALSE)</f>
        <v>B6</v>
      </c>
      <c r="D109" s="14"/>
      <c r="E109" s="14"/>
      <c r="F109" s="14"/>
    </row>
    <row r="110" spans="1:6">
      <c r="A110" s="7">
        <v>108</v>
      </c>
      <c r="B110" s="7">
        <v>108</v>
      </c>
      <c r="C110" t="str">
        <f>VLOOKUP(B110,_Pitch!$A$2:$B$129,2,FALSE)</f>
        <v>C7</v>
      </c>
      <c r="D110" s="14"/>
      <c r="E110" s="14"/>
      <c r="F110" s="14"/>
    </row>
    <row r="111" spans="1:6">
      <c r="A111" s="7">
        <v>109</v>
      </c>
      <c r="B111" s="7">
        <v>109</v>
      </c>
      <c r="C111" t="str">
        <f>VLOOKUP(B111,_Pitch!$A$2:$B$129,2,FALSE)</f>
        <v>C#7</v>
      </c>
      <c r="D111" s="14"/>
      <c r="E111" s="14"/>
      <c r="F111" s="14"/>
    </row>
    <row r="112" spans="1:6">
      <c r="A112" s="7">
        <v>110</v>
      </c>
      <c r="B112" s="7">
        <v>110</v>
      </c>
      <c r="C112" t="str">
        <f>VLOOKUP(B112,_Pitch!$A$2:$B$129,2,FALSE)</f>
        <v>D7</v>
      </c>
      <c r="D112" s="14"/>
      <c r="E112" s="14"/>
      <c r="F112" s="14"/>
    </row>
    <row r="113" spans="1:6">
      <c r="A113" s="7">
        <v>111</v>
      </c>
      <c r="B113" s="7">
        <v>111</v>
      </c>
      <c r="C113" t="str">
        <f>VLOOKUP(B113,_Pitch!$A$2:$B$129,2,FALSE)</f>
        <v>D#7</v>
      </c>
      <c r="D113" s="14"/>
      <c r="E113" s="14"/>
      <c r="F113" s="14"/>
    </row>
    <row r="114" spans="1:6">
      <c r="A114" s="7">
        <v>112</v>
      </c>
      <c r="B114" s="7">
        <v>112</v>
      </c>
      <c r="C114" t="str">
        <f>VLOOKUP(B114,_Pitch!$A$2:$B$129,2,FALSE)</f>
        <v>E7</v>
      </c>
      <c r="D114" s="14"/>
      <c r="E114" s="14"/>
      <c r="F114" s="14"/>
    </row>
    <row r="115" spans="1:6">
      <c r="A115" s="7">
        <v>113</v>
      </c>
      <c r="B115" s="7">
        <v>113</v>
      </c>
      <c r="C115" t="str">
        <f>VLOOKUP(B115,_Pitch!$A$2:$B$129,2,FALSE)</f>
        <v>F7</v>
      </c>
      <c r="D115" s="14"/>
      <c r="E115" s="14"/>
      <c r="F115" s="14"/>
    </row>
    <row r="116" spans="1:6">
      <c r="A116" s="7">
        <v>114</v>
      </c>
      <c r="B116" s="7">
        <v>114</v>
      </c>
      <c r="C116" t="str">
        <f>VLOOKUP(B116,_Pitch!$A$2:$B$129,2,FALSE)</f>
        <v>F#7</v>
      </c>
      <c r="D116" s="14"/>
      <c r="E116" s="14"/>
      <c r="F116" s="14"/>
    </row>
    <row r="117" spans="1:6">
      <c r="A117" s="7">
        <v>115</v>
      </c>
      <c r="B117" s="7">
        <v>115</v>
      </c>
      <c r="C117" t="str">
        <f>VLOOKUP(B117,_Pitch!$A$2:$B$129,2,FALSE)</f>
        <v>G7</v>
      </c>
      <c r="D117" s="14"/>
      <c r="E117" s="14"/>
      <c r="F117" s="14"/>
    </row>
    <row r="118" spans="1:6">
      <c r="A118" s="7">
        <v>116</v>
      </c>
      <c r="B118" s="7">
        <v>116</v>
      </c>
      <c r="C118" t="str">
        <f>VLOOKUP(B118,_Pitch!$A$2:$B$129,2,FALSE)</f>
        <v>G#7</v>
      </c>
      <c r="D118" s="14"/>
      <c r="E118" s="14"/>
      <c r="F118" s="14"/>
    </row>
    <row r="119" spans="1:6">
      <c r="A119" s="7">
        <v>117</v>
      </c>
      <c r="B119" s="7">
        <v>117</v>
      </c>
      <c r="C119" t="str">
        <f>VLOOKUP(B119,_Pitch!$A$2:$B$129,2,FALSE)</f>
        <v>A7</v>
      </c>
      <c r="D119" s="14"/>
      <c r="E119" s="14"/>
      <c r="F119" s="14"/>
    </row>
    <row r="120" spans="1:6">
      <c r="A120" s="7">
        <v>118</v>
      </c>
      <c r="B120" s="7">
        <v>118</v>
      </c>
      <c r="C120" t="str">
        <f>VLOOKUP(B120,_Pitch!$A$2:$B$129,2,FALSE)</f>
        <v>A#7</v>
      </c>
      <c r="D120" s="14"/>
      <c r="E120" s="14"/>
      <c r="F120" s="14"/>
    </row>
    <row r="121" spans="1:6">
      <c r="A121" s="7">
        <v>119</v>
      </c>
      <c r="B121" s="7">
        <v>119</v>
      </c>
      <c r="C121" t="str">
        <f>VLOOKUP(B121,_Pitch!$A$2:$B$129,2,FALSE)</f>
        <v>B7</v>
      </c>
      <c r="D121" s="14"/>
      <c r="E121" s="14"/>
      <c r="F121" s="14"/>
    </row>
    <row r="122" spans="1:6">
      <c r="A122" s="7">
        <v>120</v>
      </c>
      <c r="B122" s="7">
        <v>120</v>
      </c>
      <c r="C122" t="str">
        <f>VLOOKUP(B122,_Pitch!$A$2:$B$129,2,FALSE)</f>
        <v>C8</v>
      </c>
      <c r="D122" s="14"/>
      <c r="E122" s="14"/>
      <c r="F122" s="14"/>
    </row>
    <row r="123" spans="1:6">
      <c r="A123" s="7">
        <v>121</v>
      </c>
      <c r="B123" s="7">
        <v>121</v>
      </c>
      <c r="C123" t="str">
        <f>VLOOKUP(B123,_Pitch!$A$2:$B$129,2,FALSE)</f>
        <v>C#8</v>
      </c>
      <c r="D123" s="14"/>
      <c r="E123" s="14"/>
      <c r="F123" s="14"/>
    </row>
    <row r="124" spans="1:6">
      <c r="A124" s="7">
        <v>122</v>
      </c>
      <c r="B124" s="7">
        <v>122</v>
      </c>
      <c r="C124" t="str">
        <f>VLOOKUP(B124,_Pitch!$A$2:$B$129,2,FALSE)</f>
        <v>D8</v>
      </c>
      <c r="D124" s="14"/>
      <c r="E124" s="14"/>
      <c r="F124" s="14"/>
    </row>
    <row r="125" spans="1:6">
      <c r="A125" s="7">
        <v>123</v>
      </c>
      <c r="B125" s="7">
        <v>123</v>
      </c>
      <c r="C125" t="str">
        <f>VLOOKUP(B125,_Pitch!$A$2:$B$129,2,FALSE)</f>
        <v>D#8</v>
      </c>
      <c r="D125" s="14"/>
      <c r="E125" s="14"/>
      <c r="F125" s="14"/>
    </row>
    <row r="126" spans="1:6">
      <c r="A126" s="7">
        <v>124</v>
      </c>
      <c r="B126" s="7">
        <v>124</v>
      </c>
      <c r="C126" t="str">
        <f>VLOOKUP(B126,_Pitch!$A$2:$B$129,2,FALSE)</f>
        <v>E8</v>
      </c>
      <c r="D126" s="14"/>
      <c r="E126" s="14"/>
      <c r="F126" s="14"/>
    </row>
    <row r="127" spans="1:6">
      <c r="A127" s="7">
        <v>125</v>
      </c>
      <c r="B127" s="7">
        <v>125</v>
      </c>
      <c r="C127" t="str">
        <f>VLOOKUP(B127,_Pitch!$A$2:$B$129,2,FALSE)</f>
        <v>F8</v>
      </c>
      <c r="D127" s="14"/>
      <c r="E127" s="14"/>
      <c r="F127" s="14"/>
    </row>
    <row r="128" spans="1:6">
      <c r="A128" s="7">
        <v>126</v>
      </c>
      <c r="B128" s="7">
        <v>126</v>
      </c>
      <c r="C128" t="str">
        <f>VLOOKUP(B128,_Pitch!$A$2:$B$129,2,FALSE)</f>
        <v>F#8</v>
      </c>
      <c r="D128" s="14"/>
      <c r="E128" s="14"/>
      <c r="F128" s="14"/>
    </row>
    <row r="129" spans="1:6">
      <c r="A129" s="7">
        <v>127</v>
      </c>
      <c r="B129" s="7">
        <v>127</v>
      </c>
      <c r="C129" t="str">
        <f>VLOOKUP(B129,_Pitch!$A$2:$B$129,2,FALSE)</f>
        <v>G8</v>
      </c>
      <c r="D129" s="14"/>
      <c r="E129" s="14"/>
      <c r="F129" s="14"/>
    </row>
  </sheetData>
  <autoFilter ref="A1:G129" xr:uid="{C8408EA9-427C-4567-A63F-0D7BDEC5500E}"/>
  <phoneticPr fontId="1"/>
  <dataValidations count="1">
    <dataValidation type="list" allowBlank="1" showInputMessage="1" showErrorMessage="1" sqref="F2:F129" xr:uid="{8829C5F2-3EE3-4276-B33A-415110FA6008}">
      <formula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56E992D0-0E10-4FB8-B2C9-D59FC271631C}">
          <x14:formula1>
            <xm:f>_Articulation!$B$2:B$158</xm:f>
          </x14:formula1>
          <xm:sqref>E2:E129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5BF42-7542-498D-9437-A9F28B351430}">
  <sheetPr codeName="Sheet29"/>
  <dimension ref="A1:G129"/>
  <sheetViews>
    <sheetView workbookViewId="0">
      <pane ySplit="1" topLeftCell="A2" activePane="bottomLeft" state="frozen"/>
      <selection activeCell="D14" sqref="D14"/>
      <selection pane="bottomLeft" activeCell="D14" sqref="D14"/>
    </sheetView>
  </sheetViews>
  <sheetFormatPr defaultRowHeight="13.5"/>
  <cols>
    <col min="1" max="1" width="4.5" style="7" bestFit="1" customWidth="1"/>
    <col min="2" max="2" width="4.5" bestFit="1" customWidth="1"/>
    <col min="3" max="3" width="5.5" bestFit="1" customWidth="1"/>
    <col min="4" max="4" width="45.625" customWidth="1"/>
    <col min="5" max="5" width="28.25" customWidth="1"/>
    <col min="6" max="6" width="10.25" customWidth="1"/>
  </cols>
  <sheetData>
    <row r="1" spans="1:7" s="6" customFormat="1" ht="141.75" customHeight="1">
      <c r="A1" s="15" t="s">
        <v>130</v>
      </c>
      <c r="B1" s="15" t="s">
        <v>1105</v>
      </c>
      <c r="C1" s="15" t="s">
        <v>1106</v>
      </c>
      <c r="D1" s="16" t="s">
        <v>131</v>
      </c>
      <c r="E1" s="23" t="s">
        <v>132</v>
      </c>
      <c r="F1" s="17" t="s">
        <v>664</v>
      </c>
      <c r="G1" s="15" t="s">
        <v>696</v>
      </c>
    </row>
    <row r="2" spans="1:7">
      <c r="A2" s="7">
        <v>0</v>
      </c>
      <c r="B2" s="7">
        <v>0</v>
      </c>
      <c r="C2" t="str">
        <f>VLOOKUP(B2,_Pitch!$A$2:$B$129,2,FALSE)</f>
        <v>C-2</v>
      </c>
      <c r="E2" s="14"/>
      <c r="F2" s="14"/>
    </row>
    <row r="3" spans="1:7">
      <c r="A3" s="7">
        <v>1</v>
      </c>
      <c r="B3" s="7">
        <v>1</v>
      </c>
      <c r="C3" t="str">
        <f>VLOOKUP(B3,_Pitch!$A$2:$B$129,2,FALSE)</f>
        <v>C#-2</v>
      </c>
      <c r="E3" s="14"/>
      <c r="F3" s="14"/>
    </row>
    <row r="4" spans="1:7">
      <c r="A4" s="7">
        <v>2</v>
      </c>
      <c r="B4" s="7">
        <v>2</v>
      </c>
      <c r="C4" t="str">
        <f>VLOOKUP(B4,_Pitch!$A$2:$B$129,2,FALSE)</f>
        <v>D-2</v>
      </c>
      <c r="E4" s="14"/>
      <c r="F4" s="14"/>
    </row>
    <row r="5" spans="1:7">
      <c r="A5" s="7">
        <v>3</v>
      </c>
      <c r="B5" s="7">
        <v>3</v>
      </c>
      <c r="C5" t="str">
        <f>VLOOKUP(B5,_Pitch!$A$2:$B$129,2,FALSE)</f>
        <v>D#-2</v>
      </c>
      <c r="E5" s="14"/>
      <c r="F5" s="14"/>
    </row>
    <row r="6" spans="1:7">
      <c r="A6" s="7">
        <v>4</v>
      </c>
      <c r="B6" s="7">
        <v>4</v>
      </c>
      <c r="C6" t="str">
        <f>VLOOKUP(B6,_Pitch!$A$2:$B$129,2,FALSE)</f>
        <v>E-2</v>
      </c>
      <c r="E6" s="14"/>
      <c r="F6" s="14"/>
    </row>
    <row r="7" spans="1:7">
      <c r="A7" s="7">
        <v>5</v>
      </c>
      <c r="B7" s="7">
        <v>5</v>
      </c>
      <c r="C7" t="str">
        <f>VLOOKUP(B7,_Pitch!$A$2:$B$129,2,FALSE)</f>
        <v>F-2</v>
      </c>
      <c r="E7" s="14"/>
      <c r="F7" s="14"/>
    </row>
    <row r="8" spans="1:7">
      <c r="A8" s="7">
        <v>6</v>
      </c>
      <c r="B8" s="7">
        <v>6</v>
      </c>
      <c r="C8" t="str">
        <f>VLOOKUP(B8,_Pitch!$A$2:$B$129,2,FALSE)</f>
        <v>F#-2</v>
      </c>
      <c r="E8" s="14"/>
      <c r="F8" s="14"/>
    </row>
    <row r="9" spans="1:7">
      <c r="A9" s="7">
        <v>7</v>
      </c>
      <c r="B9" s="7">
        <v>7</v>
      </c>
      <c r="C9" t="str">
        <f>VLOOKUP(B9,_Pitch!$A$2:$B$129,2,FALSE)</f>
        <v>G-2</v>
      </c>
      <c r="E9" s="14"/>
      <c r="F9" s="14"/>
    </row>
    <row r="10" spans="1:7">
      <c r="A10" s="7">
        <v>8</v>
      </c>
      <c r="B10" s="7">
        <v>8</v>
      </c>
      <c r="C10" t="str">
        <f>VLOOKUP(B10,_Pitch!$A$2:$B$129,2,FALSE)</f>
        <v>G#-2</v>
      </c>
      <c r="E10" s="14"/>
      <c r="F10" s="14"/>
    </row>
    <row r="11" spans="1:7">
      <c r="A11" s="7">
        <v>9</v>
      </c>
      <c r="B11" s="7">
        <v>9</v>
      </c>
      <c r="C11" t="str">
        <f>VLOOKUP(B11,_Pitch!$A$2:$B$129,2,FALSE)</f>
        <v>A-2</v>
      </c>
      <c r="E11" s="14"/>
      <c r="F11" s="14"/>
    </row>
    <row r="12" spans="1:7">
      <c r="A12" s="7">
        <v>10</v>
      </c>
      <c r="B12" s="7">
        <v>10</v>
      </c>
      <c r="C12" t="str">
        <f>VLOOKUP(B12,_Pitch!$A$2:$B$129,2,FALSE)</f>
        <v>A#-2</v>
      </c>
      <c r="E12" s="14"/>
      <c r="F12" s="14"/>
    </row>
    <row r="13" spans="1:7">
      <c r="A13" s="7">
        <v>11</v>
      </c>
      <c r="B13" s="7">
        <v>11</v>
      </c>
      <c r="C13" t="str">
        <f>VLOOKUP(B13,_Pitch!$A$2:$B$129,2,FALSE)</f>
        <v>B-2</v>
      </c>
      <c r="E13" s="14"/>
      <c r="F13" s="14"/>
    </row>
    <row r="14" spans="1:7">
      <c r="A14" s="7">
        <v>12</v>
      </c>
      <c r="B14" s="7">
        <v>12</v>
      </c>
      <c r="C14" t="str">
        <f>VLOOKUP(B14,_Pitch!$A$2:$B$129,2,FALSE)</f>
        <v>C-1</v>
      </c>
      <c r="E14" s="14"/>
      <c r="F14" s="14"/>
    </row>
    <row r="15" spans="1:7">
      <c r="A15" s="7">
        <v>13</v>
      </c>
      <c r="B15" s="7">
        <v>13</v>
      </c>
      <c r="C15" t="str">
        <f>VLOOKUP(B15,_Pitch!$A$2:$B$129,2,FALSE)</f>
        <v>C#-1</v>
      </c>
      <c r="E15" s="14"/>
      <c r="F15" s="14"/>
    </row>
    <row r="16" spans="1:7">
      <c r="A16" s="7">
        <v>14</v>
      </c>
      <c r="B16" s="7">
        <v>14</v>
      </c>
      <c r="C16" t="str">
        <f>VLOOKUP(B16,_Pitch!$A$2:$B$129,2,FALSE)</f>
        <v>D-1</v>
      </c>
      <c r="E16" s="14"/>
      <c r="F16" s="14"/>
    </row>
    <row r="17" spans="1:6">
      <c r="A17" s="7">
        <v>15</v>
      </c>
      <c r="B17" s="7">
        <v>15</v>
      </c>
      <c r="C17" t="str">
        <f>VLOOKUP(B17,_Pitch!$A$2:$B$129,2,FALSE)</f>
        <v>D#-1</v>
      </c>
      <c r="E17" s="14"/>
      <c r="F17" s="14"/>
    </row>
    <row r="18" spans="1:6">
      <c r="A18" s="7">
        <v>16</v>
      </c>
      <c r="B18" s="7">
        <v>16</v>
      </c>
      <c r="C18" t="str">
        <f>VLOOKUP(B18,_Pitch!$A$2:$B$129,2,FALSE)</f>
        <v>E-1</v>
      </c>
      <c r="E18" s="14"/>
      <c r="F18" s="14"/>
    </row>
    <row r="19" spans="1:6">
      <c r="A19" s="7">
        <v>17</v>
      </c>
      <c r="B19" s="7">
        <v>17</v>
      </c>
      <c r="C19" t="str">
        <f>VLOOKUP(B19,_Pitch!$A$2:$B$129,2,FALSE)</f>
        <v>F-1</v>
      </c>
      <c r="E19" s="14"/>
      <c r="F19" s="14"/>
    </row>
    <row r="20" spans="1:6">
      <c r="A20" s="7">
        <v>18</v>
      </c>
      <c r="B20" s="7">
        <v>18</v>
      </c>
      <c r="C20" t="str">
        <f>VLOOKUP(B20,_Pitch!$A$2:$B$129,2,FALSE)</f>
        <v>F#-1</v>
      </c>
      <c r="E20" s="14"/>
      <c r="F20" s="14"/>
    </row>
    <row r="21" spans="1:6">
      <c r="A21" s="7">
        <v>19</v>
      </c>
      <c r="B21" s="7">
        <v>19</v>
      </c>
      <c r="C21" t="str">
        <f>VLOOKUP(B21,_Pitch!$A$2:$B$129,2,FALSE)</f>
        <v>G-1</v>
      </c>
      <c r="E21" s="14"/>
      <c r="F21" s="14"/>
    </row>
    <row r="22" spans="1:6">
      <c r="A22" s="7">
        <v>20</v>
      </c>
      <c r="B22" s="7">
        <v>20</v>
      </c>
      <c r="C22" t="str">
        <f>VLOOKUP(B22,_Pitch!$A$2:$B$129,2,FALSE)</f>
        <v>G#-1</v>
      </c>
      <c r="E22" s="14"/>
      <c r="F22" s="14"/>
    </row>
    <row r="23" spans="1:6">
      <c r="A23" s="7">
        <v>21</v>
      </c>
      <c r="B23" s="7">
        <v>21</v>
      </c>
      <c r="C23" t="str">
        <f>VLOOKUP(B23,_Pitch!$A$2:$B$129,2,FALSE)</f>
        <v>A-1</v>
      </c>
      <c r="E23" s="14"/>
      <c r="F23" s="14"/>
    </row>
    <row r="24" spans="1:6">
      <c r="A24" s="7">
        <v>22</v>
      </c>
      <c r="B24" s="7">
        <v>22</v>
      </c>
      <c r="C24" t="str">
        <f>VLOOKUP(B24,_Pitch!$A$2:$B$129,2,FALSE)</f>
        <v>A#-1</v>
      </c>
      <c r="E24" s="14"/>
      <c r="F24" s="14"/>
    </row>
    <row r="25" spans="1:6">
      <c r="A25" s="7">
        <v>23</v>
      </c>
      <c r="B25" s="7">
        <v>23</v>
      </c>
      <c r="C25" t="str">
        <f>VLOOKUP(B25,_Pitch!$A$2:$B$129,2,FALSE)</f>
        <v>B-1</v>
      </c>
      <c r="E25" s="14"/>
      <c r="F25" s="14"/>
    </row>
    <row r="26" spans="1:6">
      <c r="A26" s="7">
        <v>24</v>
      </c>
      <c r="B26" s="7">
        <v>24</v>
      </c>
      <c r="C26" t="str">
        <f>VLOOKUP(B26,_Pitch!$A$2:$B$129,2,FALSE)</f>
        <v>C0</v>
      </c>
      <c r="E26" s="14"/>
      <c r="F26" s="14"/>
    </row>
    <row r="27" spans="1:6">
      <c r="A27" s="7">
        <v>25</v>
      </c>
      <c r="B27" s="7">
        <v>25</v>
      </c>
      <c r="C27" t="str">
        <f>VLOOKUP(B27,_Pitch!$A$2:$B$129,2,FALSE)</f>
        <v>C#0</v>
      </c>
      <c r="E27" s="14"/>
      <c r="F27" s="14"/>
    </row>
    <row r="28" spans="1:6">
      <c r="A28" s="7">
        <v>26</v>
      </c>
      <c r="B28" s="7">
        <v>26</v>
      </c>
      <c r="C28" t="str">
        <f>VLOOKUP(B28,_Pitch!$A$2:$B$129,2,FALSE)</f>
        <v>D0</v>
      </c>
      <c r="E28" s="14"/>
      <c r="F28" s="14"/>
    </row>
    <row r="29" spans="1:6">
      <c r="A29" s="7">
        <v>27</v>
      </c>
      <c r="B29" s="7">
        <v>27</v>
      </c>
      <c r="C29" t="str">
        <f>VLOOKUP(B29,_Pitch!$A$2:$B$129,2,FALSE)</f>
        <v>D#0</v>
      </c>
      <c r="E29" s="14"/>
      <c r="F29" s="14"/>
    </row>
    <row r="30" spans="1:6">
      <c r="A30" s="7">
        <v>28</v>
      </c>
      <c r="B30" s="7">
        <v>28</v>
      </c>
      <c r="C30" t="str">
        <f>VLOOKUP(B30,_Pitch!$A$2:$B$129,2,FALSE)</f>
        <v>E0</v>
      </c>
      <c r="E30" s="14"/>
      <c r="F30" s="14"/>
    </row>
    <row r="31" spans="1:6">
      <c r="A31" s="7">
        <v>29</v>
      </c>
      <c r="B31" s="7">
        <v>29</v>
      </c>
      <c r="C31" t="str">
        <f>VLOOKUP(B31,_Pitch!$A$2:$B$129,2,FALSE)</f>
        <v>F0</v>
      </c>
      <c r="E31" s="14"/>
      <c r="F31" s="14"/>
    </row>
    <row r="32" spans="1:6">
      <c r="A32" s="7">
        <v>30</v>
      </c>
      <c r="B32" s="7">
        <v>30</v>
      </c>
      <c r="C32" t="str">
        <f>VLOOKUP(B32,_Pitch!$A$2:$B$129,2,FALSE)</f>
        <v>F#0</v>
      </c>
      <c r="E32" s="14"/>
      <c r="F32" s="14"/>
    </row>
    <row r="33" spans="1:6">
      <c r="A33" s="7">
        <v>31</v>
      </c>
      <c r="B33" s="7">
        <v>31</v>
      </c>
      <c r="C33" t="str">
        <f>VLOOKUP(B33,_Pitch!$A$2:$B$129,2,FALSE)</f>
        <v>G0</v>
      </c>
      <c r="E33" s="14"/>
      <c r="F33" s="14"/>
    </row>
    <row r="34" spans="1:6">
      <c r="A34" s="7">
        <v>32</v>
      </c>
      <c r="B34" s="7">
        <v>32</v>
      </c>
      <c r="C34" t="str">
        <f>VLOOKUP(B34,_Pitch!$A$2:$B$129,2,FALSE)</f>
        <v>G#0</v>
      </c>
      <c r="E34" s="14"/>
      <c r="F34" s="14"/>
    </row>
    <row r="35" spans="1:6">
      <c r="A35" s="7">
        <v>33</v>
      </c>
      <c r="B35" s="7">
        <v>33</v>
      </c>
      <c r="C35" t="str">
        <f>VLOOKUP(B35,_Pitch!$A$2:$B$129,2,FALSE)</f>
        <v>A0</v>
      </c>
      <c r="E35" s="14"/>
      <c r="F35" s="14"/>
    </row>
    <row r="36" spans="1:6">
      <c r="A36" s="7">
        <v>34</v>
      </c>
      <c r="B36" s="7">
        <v>34</v>
      </c>
      <c r="C36" t="str">
        <f>VLOOKUP(B36,_Pitch!$A$2:$B$129,2,FALSE)</f>
        <v>A#0</v>
      </c>
      <c r="E36" s="14"/>
      <c r="F36" s="14"/>
    </row>
    <row r="37" spans="1:6">
      <c r="A37" s="7">
        <v>35</v>
      </c>
      <c r="B37" s="7">
        <v>35</v>
      </c>
      <c r="C37" t="str">
        <f>VLOOKUP(B37,_Pitch!$A$2:$B$129,2,FALSE)</f>
        <v>B0</v>
      </c>
      <c r="D37" t="s">
        <v>798</v>
      </c>
      <c r="E37" s="14" t="s">
        <v>135</v>
      </c>
      <c r="F37" s="14"/>
    </row>
    <row r="38" spans="1:6">
      <c r="A38" s="7">
        <v>36</v>
      </c>
      <c r="B38" s="7">
        <v>36</v>
      </c>
      <c r="C38" t="str">
        <f>VLOOKUP(B38,_Pitch!$A$2:$B$129,2,FALSE)</f>
        <v>C1</v>
      </c>
      <c r="D38" t="s">
        <v>750</v>
      </c>
      <c r="E38" s="14" t="s">
        <v>133</v>
      </c>
      <c r="F38" s="14"/>
    </row>
    <row r="39" spans="1:6">
      <c r="A39" s="7">
        <v>37</v>
      </c>
      <c r="B39" s="7">
        <v>37</v>
      </c>
      <c r="C39" t="str">
        <f>VLOOKUP(B39,_Pitch!$A$2:$B$129,2,FALSE)</f>
        <v>C#1</v>
      </c>
      <c r="D39" t="s">
        <v>799</v>
      </c>
      <c r="E39" s="14" t="s">
        <v>145</v>
      </c>
      <c r="F39" s="14"/>
    </row>
    <row r="40" spans="1:6">
      <c r="A40" s="7">
        <v>38</v>
      </c>
      <c r="B40" s="7">
        <v>38</v>
      </c>
      <c r="C40" t="str">
        <f>VLOOKUP(B40,_Pitch!$A$2:$B$129,2,FALSE)</f>
        <v>D1</v>
      </c>
      <c r="D40" t="s">
        <v>800</v>
      </c>
      <c r="E40" s="14" t="s">
        <v>561</v>
      </c>
      <c r="F40" s="14"/>
    </row>
    <row r="41" spans="1:6">
      <c r="A41" s="7">
        <v>39</v>
      </c>
      <c r="B41" s="7">
        <v>39</v>
      </c>
      <c r="C41" t="str">
        <f>VLOOKUP(B41,_Pitch!$A$2:$B$129,2,FALSE)</f>
        <v>D#1</v>
      </c>
      <c r="D41" t="s">
        <v>801</v>
      </c>
      <c r="E41" s="14" t="s">
        <v>561</v>
      </c>
      <c r="F41" s="14" t="s">
        <v>290</v>
      </c>
    </row>
    <row r="42" spans="1:6">
      <c r="A42" s="7">
        <v>40</v>
      </c>
      <c r="B42" s="7">
        <v>40</v>
      </c>
      <c r="C42" t="str">
        <f>VLOOKUP(B42,_Pitch!$A$2:$B$129,2,FALSE)</f>
        <v>E1</v>
      </c>
      <c r="D42" t="s">
        <v>801</v>
      </c>
      <c r="E42" s="14" t="s">
        <v>1077</v>
      </c>
      <c r="F42" s="14"/>
    </row>
    <row r="43" spans="1:6">
      <c r="A43" s="7">
        <v>41</v>
      </c>
      <c r="B43" s="7">
        <v>41</v>
      </c>
      <c r="C43" t="str">
        <f>VLOOKUP(B43,_Pitch!$A$2:$B$129,2,FALSE)</f>
        <v>F1</v>
      </c>
      <c r="D43" t="s">
        <v>802</v>
      </c>
      <c r="E43" s="14" t="s">
        <v>558</v>
      </c>
      <c r="F43" s="14"/>
    </row>
    <row r="44" spans="1:6">
      <c r="A44" s="7">
        <v>42</v>
      </c>
      <c r="B44" s="7">
        <v>42</v>
      </c>
      <c r="C44" t="str">
        <f>VLOOKUP(B44,_Pitch!$A$2:$B$129,2,FALSE)</f>
        <v>F#1</v>
      </c>
      <c r="D44" t="s">
        <v>803</v>
      </c>
      <c r="E44" s="14" t="s">
        <v>149</v>
      </c>
      <c r="F44" s="14"/>
    </row>
    <row r="45" spans="1:6">
      <c r="A45" s="7">
        <v>43</v>
      </c>
      <c r="B45" s="7">
        <v>43</v>
      </c>
      <c r="C45" t="str">
        <f>VLOOKUP(B45,_Pitch!$A$2:$B$129,2,FALSE)</f>
        <v>G1</v>
      </c>
      <c r="D45" t="s">
        <v>804</v>
      </c>
      <c r="E45" s="14" t="s">
        <v>558</v>
      </c>
      <c r="F45" s="14" t="s">
        <v>290</v>
      </c>
    </row>
    <row r="46" spans="1:6">
      <c r="A46" s="7">
        <v>44</v>
      </c>
      <c r="B46" s="7">
        <v>44</v>
      </c>
      <c r="C46" t="str">
        <f>VLOOKUP(B46,_Pitch!$A$2:$B$129,2,FALSE)</f>
        <v>G#1</v>
      </c>
      <c r="D46" t="s">
        <v>805</v>
      </c>
      <c r="E46" s="14" t="s">
        <v>160</v>
      </c>
      <c r="F46" s="14"/>
    </row>
    <row r="47" spans="1:6">
      <c r="A47" s="7">
        <v>45</v>
      </c>
      <c r="B47" s="7">
        <v>45</v>
      </c>
      <c r="C47" t="str">
        <f>VLOOKUP(B47,_Pitch!$A$2:$B$129,2,FALSE)</f>
        <v>A1</v>
      </c>
      <c r="D47" t="s">
        <v>806</v>
      </c>
      <c r="E47" s="14" t="s">
        <v>559</v>
      </c>
      <c r="F47" s="14"/>
    </row>
    <row r="48" spans="1:6">
      <c r="A48" s="7">
        <v>46</v>
      </c>
      <c r="B48" s="7">
        <v>46</v>
      </c>
      <c r="C48" t="str">
        <f>VLOOKUP(B48,_Pitch!$A$2:$B$129,2,FALSE)</f>
        <v>A#1</v>
      </c>
      <c r="D48" t="s">
        <v>807</v>
      </c>
      <c r="E48" s="14" t="s">
        <v>163</v>
      </c>
      <c r="F48" s="14"/>
    </row>
    <row r="49" spans="1:6">
      <c r="A49" s="7">
        <v>47</v>
      </c>
      <c r="B49" s="7">
        <v>47</v>
      </c>
      <c r="C49" t="str">
        <f>VLOOKUP(B49,_Pitch!$A$2:$B$129,2,FALSE)</f>
        <v>B1</v>
      </c>
      <c r="D49" t="s">
        <v>808</v>
      </c>
      <c r="E49" s="14" t="s">
        <v>559</v>
      </c>
      <c r="F49" s="14" t="s">
        <v>290</v>
      </c>
    </row>
    <row r="50" spans="1:6">
      <c r="A50" s="7">
        <v>48</v>
      </c>
      <c r="B50" s="7">
        <v>48</v>
      </c>
      <c r="C50" t="str">
        <f>VLOOKUP(B50,_Pitch!$A$2:$B$129,2,FALSE)</f>
        <v>C2</v>
      </c>
      <c r="D50" t="s">
        <v>809</v>
      </c>
      <c r="E50" s="14" t="s">
        <v>560</v>
      </c>
      <c r="F50" s="14"/>
    </row>
    <row r="51" spans="1:6">
      <c r="A51" s="7">
        <v>49</v>
      </c>
      <c r="B51" s="7">
        <v>49</v>
      </c>
      <c r="C51" t="str">
        <f>VLOOKUP(B51,_Pitch!$A$2:$B$129,2,FALSE)</f>
        <v>C#2</v>
      </c>
      <c r="D51" t="s">
        <v>810</v>
      </c>
      <c r="E51" s="14" t="s">
        <v>568</v>
      </c>
      <c r="F51" s="14"/>
    </row>
    <row r="52" spans="1:6">
      <c r="A52" s="7">
        <v>50</v>
      </c>
      <c r="B52" s="7">
        <v>50</v>
      </c>
      <c r="C52" t="str">
        <f>VLOOKUP(B52,_Pitch!$A$2:$B$129,2,FALSE)</f>
        <v>D2</v>
      </c>
      <c r="D52" t="s">
        <v>811</v>
      </c>
      <c r="E52" s="14" t="s">
        <v>560</v>
      </c>
      <c r="F52" s="14" t="s">
        <v>290</v>
      </c>
    </row>
    <row r="53" spans="1:6">
      <c r="A53" s="7">
        <v>51</v>
      </c>
      <c r="B53" s="7">
        <v>51</v>
      </c>
      <c r="C53" t="str">
        <f>VLOOKUP(B53,_Pitch!$A$2:$B$129,2,FALSE)</f>
        <v>D#2</v>
      </c>
      <c r="D53" t="s">
        <v>812</v>
      </c>
      <c r="E53" s="14" t="s">
        <v>179</v>
      </c>
      <c r="F53" s="14"/>
    </row>
    <row r="54" spans="1:6">
      <c r="A54" s="7">
        <v>52</v>
      </c>
      <c r="B54" s="7">
        <v>52</v>
      </c>
      <c r="C54" t="str">
        <f>VLOOKUP(B54,_Pitch!$A$2:$B$129,2,FALSE)</f>
        <v>E2</v>
      </c>
      <c r="D54" t="s">
        <v>905</v>
      </c>
      <c r="E54" s="14" t="s">
        <v>905</v>
      </c>
      <c r="F54" s="14"/>
    </row>
    <row r="55" spans="1:6">
      <c r="A55" s="7">
        <v>53</v>
      </c>
      <c r="B55" s="7">
        <v>53</v>
      </c>
      <c r="C55" t="str">
        <f>VLOOKUP(B55,_Pitch!$A$2:$B$129,2,FALSE)</f>
        <v>F2</v>
      </c>
      <c r="D55" t="s">
        <v>813</v>
      </c>
      <c r="E55" s="14" t="s">
        <v>181</v>
      </c>
      <c r="F55" s="14"/>
    </row>
    <row r="56" spans="1:6">
      <c r="A56" s="7">
        <v>54</v>
      </c>
      <c r="B56" s="7">
        <v>54</v>
      </c>
      <c r="C56" t="str">
        <f>VLOOKUP(B56,_Pitch!$A$2:$B$129,2,FALSE)</f>
        <v>F#2</v>
      </c>
      <c r="E56" s="14"/>
      <c r="F56" s="14"/>
    </row>
    <row r="57" spans="1:6">
      <c r="A57" s="7">
        <v>55</v>
      </c>
      <c r="B57" s="7">
        <v>55</v>
      </c>
      <c r="C57" t="str">
        <f>VLOOKUP(B57,_Pitch!$A$2:$B$129,2,FALSE)</f>
        <v>G2</v>
      </c>
      <c r="D57" t="s">
        <v>904</v>
      </c>
      <c r="E57" s="14" t="s">
        <v>904</v>
      </c>
      <c r="F57" s="14"/>
    </row>
    <row r="58" spans="1:6">
      <c r="A58" s="7">
        <v>56</v>
      </c>
      <c r="B58" s="7">
        <v>56</v>
      </c>
      <c r="C58" t="str">
        <f>VLOOKUP(B58,_Pitch!$A$2:$B$129,2,FALSE)</f>
        <v>G#2</v>
      </c>
      <c r="E58" s="14"/>
      <c r="F58" s="14"/>
    </row>
    <row r="59" spans="1:6">
      <c r="A59" s="7">
        <v>57</v>
      </c>
      <c r="B59" s="7">
        <v>57</v>
      </c>
      <c r="C59" t="str">
        <f>VLOOKUP(B59,_Pitch!$A$2:$B$129,2,FALSE)</f>
        <v>A2</v>
      </c>
      <c r="D59" t="s">
        <v>814</v>
      </c>
      <c r="E59" s="14" t="s">
        <v>569</v>
      </c>
      <c r="F59" s="14"/>
    </row>
    <row r="60" spans="1:6">
      <c r="A60" s="7">
        <v>58</v>
      </c>
      <c r="B60" s="7">
        <v>58</v>
      </c>
      <c r="C60" t="str">
        <f>VLOOKUP(B60,_Pitch!$A$2:$B$129,2,FALSE)</f>
        <v>A#2</v>
      </c>
      <c r="D60" t="s">
        <v>815</v>
      </c>
      <c r="E60" s="14" t="s">
        <v>216</v>
      </c>
      <c r="F60" s="14"/>
    </row>
    <row r="61" spans="1:6">
      <c r="A61" s="7">
        <v>59</v>
      </c>
      <c r="B61" s="7">
        <v>59</v>
      </c>
      <c r="C61" t="str">
        <f>VLOOKUP(B61,_Pitch!$A$2:$B$129,2,FALSE)</f>
        <v>B2</v>
      </c>
      <c r="E61" s="14"/>
      <c r="F61" s="14"/>
    </row>
    <row r="62" spans="1:6">
      <c r="A62" s="7">
        <v>60</v>
      </c>
      <c r="B62" s="7">
        <v>60</v>
      </c>
      <c r="C62" t="str">
        <f>VLOOKUP(B62,_Pitch!$A$2:$B$129,2,FALSE)</f>
        <v>C3</v>
      </c>
      <c r="D62" t="s">
        <v>807</v>
      </c>
      <c r="E62" s="14" t="s">
        <v>163</v>
      </c>
      <c r="F62" s="14" t="s">
        <v>290</v>
      </c>
    </row>
    <row r="63" spans="1:6">
      <c r="A63" s="7">
        <v>61</v>
      </c>
      <c r="B63" s="7">
        <v>61</v>
      </c>
      <c r="C63" t="str">
        <f>VLOOKUP(B63,_Pitch!$A$2:$B$129,2,FALSE)</f>
        <v>C#3</v>
      </c>
      <c r="D63" t="s">
        <v>805</v>
      </c>
      <c r="E63" s="14" t="s">
        <v>160</v>
      </c>
      <c r="F63" s="14" t="s">
        <v>290</v>
      </c>
    </row>
    <row r="64" spans="1:6">
      <c r="A64" s="7">
        <v>62</v>
      </c>
      <c r="B64" s="7">
        <v>62</v>
      </c>
      <c r="C64" t="str">
        <f>VLOOKUP(B64,_Pitch!$A$2:$B$129,2,FALSE)</f>
        <v>D3</v>
      </c>
      <c r="D64" t="s">
        <v>803</v>
      </c>
      <c r="E64" s="14" t="s">
        <v>149</v>
      </c>
      <c r="F64" s="14" t="s">
        <v>290</v>
      </c>
    </row>
    <row r="65" spans="1:6">
      <c r="A65" s="7">
        <v>63</v>
      </c>
      <c r="B65" s="7">
        <v>63</v>
      </c>
      <c r="C65" t="str">
        <f>VLOOKUP(B65,_Pitch!$A$2:$B$129,2,FALSE)</f>
        <v>D#3</v>
      </c>
      <c r="D65" t="s">
        <v>816</v>
      </c>
      <c r="E65" s="14" t="s">
        <v>149</v>
      </c>
      <c r="F65" s="14" t="s">
        <v>290</v>
      </c>
    </row>
    <row r="66" spans="1:6">
      <c r="A66" s="7">
        <v>64</v>
      </c>
      <c r="B66" s="7">
        <v>64</v>
      </c>
      <c r="C66" t="str">
        <f>VLOOKUP(B66,_Pitch!$A$2:$B$129,2,FALSE)</f>
        <v>E3</v>
      </c>
      <c r="E66" s="14"/>
      <c r="F66" s="14"/>
    </row>
    <row r="67" spans="1:6">
      <c r="A67" s="7">
        <v>65</v>
      </c>
      <c r="B67" s="7">
        <v>65</v>
      </c>
      <c r="C67" t="str">
        <f>VLOOKUP(B67,_Pitch!$A$2:$B$129,2,FALSE)</f>
        <v>F3</v>
      </c>
      <c r="D67" t="s">
        <v>734</v>
      </c>
      <c r="E67" s="14" t="s">
        <v>1068</v>
      </c>
      <c r="F67" s="14"/>
    </row>
    <row r="68" spans="1:6">
      <c r="A68" s="7">
        <v>66</v>
      </c>
      <c r="B68" s="7">
        <v>66</v>
      </c>
      <c r="C68" t="str">
        <f>VLOOKUP(B68,_Pitch!$A$2:$B$129,2,FALSE)</f>
        <v>F#3</v>
      </c>
      <c r="E68" s="14"/>
      <c r="F68" s="14"/>
    </row>
    <row r="69" spans="1:6">
      <c r="A69" s="7">
        <v>67</v>
      </c>
      <c r="B69" s="7">
        <v>67</v>
      </c>
      <c r="C69" t="str">
        <f>VLOOKUP(B69,_Pitch!$A$2:$B$129,2,FALSE)</f>
        <v>G3</v>
      </c>
      <c r="E69" s="14"/>
      <c r="F69" s="14"/>
    </row>
    <row r="70" spans="1:6">
      <c r="A70" s="7">
        <v>68</v>
      </c>
      <c r="B70" s="7">
        <v>68</v>
      </c>
      <c r="C70" t="str">
        <f>VLOOKUP(B70,_Pitch!$A$2:$B$129,2,FALSE)</f>
        <v>G#3</v>
      </c>
      <c r="E70" s="14"/>
      <c r="F70" s="14"/>
    </row>
    <row r="71" spans="1:6">
      <c r="A71" s="7">
        <v>69</v>
      </c>
      <c r="B71" s="7">
        <v>69</v>
      </c>
      <c r="C71" t="str">
        <f>VLOOKUP(B71,_Pitch!$A$2:$B$129,2,FALSE)</f>
        <v>A3</v>
      </c>
      <c r="E71" s="14"/>
      <c r="F71" s="14"/>
    </row>
    <row r="72" spans="1:6">
      <c r="A72" s="7">
        <v>70</v>
      </c>
      <c r="B72" s="7">
        <v>70</v>
      </c>
      <c r="C72" t="str">
        <f>VLOOKUP(B72,_Pitch!$A$2:$B$129,2,FALSE)</f>
        <v>A#3</v>
      </c>
      <c r="E72" s="14"/>
      <c r="F72" s="14"/>
    </row>
    <row r="73" spans="1:6">
      <c r="A73" s="7">
        <v>71</v>
      </c>
      <c r="B73" s="7">
        <v>71</v>
      </c>
      <c r="C73" t="str">
        <f>VLOOKUP(B73,_Pitch!$A$2:$B$129,2,FALSE)</f>
        <v>B3</v>
      </c>
      <c r="E73" s="14"/>
      <c r="F73" s="14"/>
    </row>
    <row r="74" spans="1:6">
      <c r="A74" s="7">
        <v>72</v>
      </c>
      <c r="B74" s="7">
        <v>72</v>
      </c>
      <c r="C74" t="str">
        <f>VLOOKUP(B74,_Pitch!$A$2:$B$129,2,FALSE)</f>
        <v>C4</v>
      </c>
      <c r="E74" s="14"/>
      <c r="F74" s="14"/>
    </row>
    <row r="75" spans="1:6">
      <c r="A75" s="7">
        <v>73</v>
      </c>
      <c r="B75" s="7">
        <v>73</v>
      </c>
      <c r="C75" t="str">
        <f>VLOOKUP(B75,_Pitch!$A$2:$B$129,2,FALSE)</f>
        <v>C#4</v>
      </c>
      <c r="E75" s="14"/>
      <c r="F75" s="14"/>
    </row>
    <row r="76" spans="1:6">
      <c r="A76" s="7">
        <v>74</v>
      </c>
      <c r="B76" s="7">
        <v>74</v>
      </c>
      <c r="C76" t="str">
        <f>VLOOKUP(B76,_Pitch!$A$2:$B$129,2,FALSE)</f>
        <v>D4</v>
      </c>
      <c r="E76" s="14"/>
      <c r="F76" s="14"/>
    </row>
    <row r="77" spans="1:6">
      <c r="A77" s="7">
        <v>75</v>
      </c>
      <c r="B77" s="7">
        <v>75</v>
      </c>
      <c r="C77" t="str">
        <f>VLOOKUP(B77,_Pitch!$A$2:$B$129,2,FALSE)</f>
        <v>D#4</v>
      </c>
      <c r="E77" s="14"/>
      <c r="F77" s="14"/>
    </row>
    <row r="78" spans="1:6">
      <c r="A78" s="7">
        <v>76</v>
      </c>
      <c r="B78" s="7">
        <v>76</v>
      </c>
      <c r="C78" t="str">
        <f>VLOOKUP(B78,_Pitch!$A$2:$B$129,2,FALSE)</f>
        <v>E4</v>
      </c>
      <c r="E78" s="14"/>
      <c r="F78" s="14"/>
    </row>
    <row r="79" spans="1:6">
      <c r="A79" s="7">
        <v>77</v>
      </c>
      <c r="B79" s="7">
        <v>77</v>
      </c>
      <c r="C79" t="str">
        <f>VLOOKUP(B79,_Pitch!$A$2:$B$129,2,FALSE)</f>
        <v>F4</v>
      </c>
      <c r="E79" s="14"/>
      <c r="F79" s="14"/>
    </row>
    <row r="80" spans="1:6">
      <c r="A80" s="7">
        <v>78</v>
      </c>
      <c r="B80" s="7">
        <v>78</v>
      </c>
      <c r="C80" t="str">
        <f>VLOOKUP(B80,_Pitch!$A$2:$B$129,2,FALSE)</f>
        <v>F#4</v>
      </c>
      <c r="E80" s="14"/>
      <c r="F80" s="14"/>
    </row>
    <row r="81" spans="1:6">
      <c r="A81" s="7">
        <v>79</v>
      </c>
      <c r="B81" s="7">
        <v>79</v>
      </c>
      <c r="C81" t="str">
        <f>VLOOKUP(B81,_Pitch!$A$2:$B$129,2,FALSE)</f>
        <v>G4</v>
      </c>
      <c r="E81" s="14"/>
      <c r="F81" s="14"/>
    </row>
    <row r="82" spans="1:6">
      <c r="A82" s="7">
        <v>80</v>
      </c>
      <c r="B82" s="7">
        <v>80</v>
      </c>
      <c r="C82" t="str">
        <f>VLOOKUP(B82,_Pitch!$A$2:$B$129,2,FALSE)</f>
        <v>G#4</v>
      </c>
      <c r="E82" s="14"/>
      <c r="F82" s="14"/>
    </row>
    <row r="83" spans="1:6">
      <c r="A83" s="7">
        <v>81</v>
      </c>
      <c r="B83" s="7">
        <v>81</v>
      </c>
      <c r="C83" t="str">
        <f>VLOOKUP(B83,_Pitch!$A$2:$B$129,2,FALSE)</f>
        <v>A4</v>
      </c>
      <c r="E83" s="14"/>
      <c r="F83" s="14"/>
    </row>
    <row r="84" spans="1:6">
      <c r="A84" s="7">
        <v>82</v>
      </c>
      <c r="B84" s="7">
        <v>82</v>
      </c>
      <c r="C84" t="str">
        <f>VLOOKUP(B84,_Pitch!$A$2:$B$129,2,FALSE)</f>
        <v>A#4</v>
      </c>
      <c r="E84" s="14"/>
      <c r="F84" s="14"/>
    </row>
    <row r="85" spans="1:6">
      <c r="A85" s="7">
        <v>83</v>
      </c>
      <c r="B85" s="7">
        <v>83</v>
      </c>
      <c r="C85" t="str">
        <f>VLOOKUP(B85,_Pitch!$A$2:$B$129,2,FALSE)</f>
        <v>B4</v>
      </c>
      <c r="D85" t="s">
        <v>817</v>
      </c>
      <c r="E85" s="14"/>
      <c r="F85" s="14"/>
    </row>
    <row r="86" spans="1:6">
      <c r="A86" s="7">
        <v>84</v>
      </c>
      <c r="B86" s="7">
        <v>84</v>
      </c>
      <c r="C86" t="str">
        <f>VLOOKUP(B86,_Pitch!$A$2:$B$129,2,FALSE)</f>
        <v>C5</v>
      </c>
      <c r="E86" s="14"/>
      <c r="F86" s="14"/>
    </row>
    <row r="87" spans="1:6">
      <c r="A87" s="7">
        <v>85</v>
      </c>
      <c r="B87" s="7">
        <v>85</v>
      </c>
      <c r="C87" t="str">
        <f>VLOOKUP(B87,_Pitch!$A$2:$B$129,2,FALSE)</f>
        <v>C#5</v>
      </c>
      <c r="E87" s="14"/>
      <c r="F87" s="14"/>
    </row>
    <row r="88" spans="1:6">
      <c r="A88" s="7">
        <v>86</v>
      </c>
      <c r="B88" s="7">
        <v>86</v>
      </c>
      <c r="C88" t="str">
        <f>VLOOKUP(B88,_Pitch!$A$2:$B$129,2,FALSE)</f>
        <v>D5</v>
      </c>
      <c r="E88" s="14"/>
      <c r="F88" s="14"/>
    </row>
    <row r="89" spans="1:6">
      <c r="A89" s="7">
        <v>87</v>
      </c>
      <c r="B89" s="7">
        <v>87</v>
      </c>
      <c r="C89" t="str">
        <f>VLOOKUP(B89,_Pitch!$A$2:$B$129,2,FALSE)</f>
        <v>D#5</v>
      </c>
      <c r="E89" s="14"/>
      <c r="F89" s="14"/>
    </row>
    <row r="90" spans="1:6">
      <c r="A90" s="7">
        <v>88</v>
      </c>
      <c r="B90" s="7">
        <v>88</v>
      </c>
      <c r="C90" t="str">
        <f>VLOOKUP(B90,_Pitch!$A$2:$B$129,2,FALSE)</f>
        <v>E5</v>
      </c>
      <c r="E90" s="14"/>
      <c r="F90" s="14"/>
    </row>
    <row r="91" spans="1:6">
      <c r="A91" s="7">
        <v>89</v>
      </c>
      <c r="B91" s="7">
        <v>89</v>
      </c>
      <c r="C91" t="str">
        <f>VLOOKUP(B91,_Pitch!$A$2:$B$129,2,FALSE)</f>
        <v>F5</v>
      </c>
      <c r="E91" s="14"/>
      <c r="F91" s="14"/>
    </row>
    <row r="92" spans="1:6">
      <c r="A92" s="7">
        <v>90</v>
      </c>
      <c r="B92" s="7">
        <v>90</v>
      </c>
      <c r="C92" t="str">
        <f>VLOOKUP(B92,_Pitch!$A$2:$B$129,2,FALSE)</f>
        <v>F#5</v>
      </c>
      <c r="E92" s="14"/>
      <c r="F92" s="14"/>
    </row>
    <row r="93" spans="1:6">
      <c r="A93" s="7">
        <v>91</v>
      </c>
      <c r="B93" s="7">
        <v>91</v>
      </c>
      <c r="C93" t="str">
        <f>VLOOKUP(B93,_Pitch!$A$2:$B$129,2,FALSE)</f>
        <v>G5</v>
      </c>
      <c r="E93" s="14"/>
      <c r="F93" s="14"/>
    </row>
    <row r="94" spans="1:6">
      <c r="A94" s="7">
        <v>92</v>
      </c>
      <c r="B94" s="7">
        <v>92</v>
      </c>
      <c r="C94" t="str">
        <f>VLOOKUP(B94,_Pitch!$A$2:$B$129,2,FALSE)</f>
        <v>G#5</v>
      </c>
      <c r="E94" s="14"/>
      <c r="F94" s="14"/>
    </row>
    <row r="95" spans="1:6">
      <c r="A95" s="7">
        <v>93</v>
      </c>
      <c r="B95" s="7">
        <v>93</v>
      </c>
      <c r="C95" t="str">
        <f>VLOOKUP(B95,_Pitch!$A$2:$B$129,2,FALSE)</f>
        <v>A5</v>
      </c>
      <c r="E95" s="14"/>
      <c r="F95" s="14"/>
    </row>
    <row r="96" spans="1:6">
      <c r="A96" s="7">
        <v>94</v>
      </c>
      <c r="B96" s="7">
        <v>94</v>
      </c>
      <c r="C96" t="str">
        <f>VLOOKUP(B96,_Pitch!$A$2:$B$129,2,FALSE)</f>
        <v>A#5</v>
      </c>
      <c r="E96" s="14"/>
      <c r="F96" s="14"/>
    </row>
    <row r="97" spans="1:6">
      <c r="A97" s="7">
        <v>95</v>
      </c>
      <c r="B97" s="7">
        <v>95</v>
      </c>
      <c r="C97" t="str">
        <f>VLOOKUP(B97,_Pitch!$A$2:$B$129,2,FALSE)</f>
        <v>B5</v>
      </c>
      <c r="E97" s="14"/>
      <c r="F97" s="14"/>
    </row>
    <row r="98" spans="1:6">
      <c r="A98" s="7">
        <v>96</v>
      </c>
      <c r="B98" s="7">
        <v>96</v>
      </c>
      <c r="C98" t="str">
        <f>VLOOKUP(B98,_Pitch!$A$2:$B$129,2,FALSE)</f>
        <v>C6</v>
      </c>
      <c r="E98" s="14"/>
      <c r="F98" s="14"/>
    </row>
    <row r="99" spans="1:6">
      <c r="A99" s="7">
        <v>97</v>
      </c>
      <c r="B99" s="7">
        <v>97</v>
      </c>
      <c r="C99" t="str">
        <f>VLOOKUP(B99,_Pitch!$A$2:$B$129,2,FALSE)</f>
        <v>C#6</v>
      </c>
      <c r="E99" s="14"/>
      <c r="F99" s="14"/>
    </row>
    <row r="100" spans="1:6">
      <c r="A100" s="7">
        <v>98</v>
      </c>
      <c r="B100" s="7">
        <v>98</v>
      </c>
      <c r="C100" t="str">
        <f>VLOOKUP(B100,_Pitch!$A$2:$B$129,2,FALSE)</f>
        <v>D6</v>
      </c>
      <c r="E100" s="14"/>
      <c r="F100" s="14"/>
    </row>
    <row r="101" spans="1:6">
      <c r="A101" s="7">
        <v>99</v>
      </c>
      <c r="B101" s="7">
        <v>99</v>
      </c>
      <c r="C101" t="str">
        <f>VLOOKUP(B101,_Pitch!$A$2:$B$129,2,FALSE)</f>
        <v>D#6</v>
      </c>
      <c r="E101" s="14"/>
      <c r="F101" s="14"/>
    </row>
    <row r="102" spans="1:6">
      <c r="A102" s="7">
        <v>100</v>
      </c>
      <c r="B102" s="7">
        <v>100</v>
      </c>
      <c r="C102" t="str">
        <f>VLOOKUP(B102,_Pitch!$A$2:$B$129,2,FALSE)</f>
        <v>E6</v>
      </c>
      <c r="E102" s="14"/>
      <c r="F102" s="14"/>
    </row>
    <row r="103" spans="1:6">
      <c r="A103" s="7">
        <v>101</v>
      </c>
      <c r="B103" s="7">
        <v>101</v>
      </c>
      <c r="C103" t="str">
        <f>VLOOKUP(B103,_Pitch!$A$2:$B$129,2,FALSE)</f>
        <v>F6</v>
      </c>
      <c r="E103" s="14"/>
      <c r="F103" s="14"/>
    </row>
    <row r="104" spans="1:6">
      <c r="A104" s="7">
        <v>102</v>
      </c>
      <c r="B104" s="7">
        <v>102</v>
      </c>
      <c r="C104" t="str">
        <f>VLOOKUP(B104,_Pitch!$A$2:$B$129,2,FALSE)</f>
        <v>F#6</v>
      </c>
      <c r="E104" s="14"/>
      <c r="F104" s="14"/>
    </row>
    <row r="105" spans="1:6">
      <c r="A105" s="7">
        <v>103</v>
      </c>
      <c r="B105" s="7">
        <v>103</v>
      </c>
      <c r="C105" t="str">
        <f>VLOOKUP(B105,_Pitch!$A$2:$B$129,2,FALSE)</f>
        <v>G6</v>
      </c>
      <c r="E105" s="14"/>
      <c r="F105" s="14"/>
    </row>
    <row r="106" spans="1:6">
      <c r="A106" s="7">
        <v>104</v>
      </c>
      <c r="B106" s="7">
        <v>104</v>
      </c>
      <c r="C106" t="str">
        <f>VLOOKUP(B106,_Pitch!$A$2:$B$129,2,FALSE)</f>
        <v>G#6</v>
      </c>
      <c r="E106" s="14"/>
      <c r="F106" s="14"/>
    </row>
    <row r="107" spans="1:6">
      <c r="A107" s="7">
        <v>105</v>
      </c>
      <c r="B107" s="7">
        <v>105</v>
      </c>
      <c r="C107" t="str">
        <f>VLOOKUP(B107,_Pitch!$A$2:$B$129,2,FALSE)</f>
        <v>A6</v>
      </c>
      <c r="E107" s="14"/>
      <c r="F107" s="14"/>
    </row>
    <row r="108" spans="1:6">
      <c r="A108" s="7">
        <v>106</v>
      </c>
      <c r="B108" s="7">
        <v>106</v>
      </c>
      <c r="C108" t="str">
        <f>VLOOKUP(B108,_Pitch!$A$2:$B$129,2,FALSE)</f>
        <v>A#6</v>
      </c>
      <c r="E108" s="14"/>
      <c r="F108" s="14"/>
    </row>
    <row r="109" spans="1:6">
      <c r="A109" s="7">
        <v>107</v>
      </c>
      <c r="B109" s="7">
        <v>107</v>
      </c>
      <c r="C109" t="str">
        <f>VLOOKUP(B109,_Pitch!$A$2:$B$129,2,FALSE)</f>
        <v>B6</v>
      </c>
      <c r="E109" s="14"/>
      <c r="F109" s="14"/>
    </row>
    <row r="110" spans="1:6">
      <c r="A110" s="7">
        <v>108</v>
      </c>
      <c r="B110" s="7">
        <v>108</v>
      </c>
      <c r="C110" t="str">
        <f>VLOOKUP(B110,_Pitch!$A$2:$B$129,2,FALSE)</f>
        <v>C7</v>
      </c>
      <c r="E110" s="14"/>
      <c r="F110" s="14"/>
    </row>
    <row r="111" spans="1:6">
      <c r="A111" s="7">
        <v>109</v>
      </c>
      <c r="B111" s="7">
        <v>109</v>
      </c>
      <c r="C111" t="str">
        <f>VLOOKUP(B111,_Pitch!$A$2:$B$129,2,FALSE)</f>
        <v>C#7</v>
      </c>
      <c r="E111" s="14"/>
      <c r="F111" s="14"/>
    </row>
    <row r="112" spans="1:6">
      <c r="A112" s="7">
        <v>110</v>
      </c>
      <c r="B112" s="7">
        <v>110</v>
      </c>
      <c r="C112" t="str">
        <f>VLOOKUP(B112,_Pitch!$A$2:$B$129,2,FALSE)</f>
        <v>D7</v>
      </c>
      <c r="E112" s="14"/>
      <c r="F112" s="14"/>
    </row>
    <row r="113" spans="1:6">
      <c r="A113" s="7">
        <v>111</v>
      </c>
      <c r="B113" s="7">
        <v>111</v>
      </c>
      <c r="C113" t="str">
        <f>VLOOKUP(B113,_Pitch!$A$2:$B$129,2,FALSE)</f>
        <v>D#7</v>
      </c>
      <c r="E113" s="14"/>
      <c r="F113" s="14"/>
    </row>
    <row r="114" spans="1:6">
      <c r="A114" s="7">
        <v>112</v>
      </c>
      <c r="B114" s="7">
        <v>112</v>
      </c>
      <c r="C114" t="str">
        <f>VLOOKUP(B114,_Pitch!$A$2:$B$129,2,FALSE)</f>
        <v>E7</v>
      </c>
      <c r="E114" s="14"/>
      <c r="F114" s="14"/>
    </row>
    <row r="115" spans="1:6">
      <c r="A115" s="7">
        <v>113</v>
      </c>
      <c r="B115" s="7">
        <v>113</v>
      </c>
      <c r="C115" t="str">
        <f>VLOOKUP(B115,_Pitch!$A$2:$B$129,2,FALSE)</f>
        <v>F7</v>
      </c>
      <c r="E115" s="14"/>
      <c r="F115" s="14"/>
    </row>
    <row r="116" spans="1:6">
      <c r="A116" s="7">
        <v>114</v>
      </c>
      <c r="B116" s="7">
        <v>114</v>
      </c>
      <c r="C116" t="str">
        <f>VLOOKUP(B116,_Pitch!$A$2:$B$129,2,FALSE)</f>
        <v>F#7</v>
      </c>
      <c r="E116" s="14"/>
      <c r="F116" s="14"/>
    </row>
    <row r="117" spans="1:6">
      <c r="A117" s="7">
        <v>115</v>
      </c>
      <c r="B117" s="7">
        <v>115</v>
      </c>
      <c r="C117" t="str">
        <f>VLOOKUP(B117,_Pitch!$A$2:$B$129,2,FALSE)</f>
        <v>G7</v>
      </c>
      <c r="E117" s="14"/>
      <c r="F117" s="14"/>
    </row>
    <row r="118" spans="1:6">
      <c r="A118" s="7">
        <v>116</v>
      </c>
      <c r="B118" s="7">
        <v>116</v>
      </c>
      <c r="C118" t="str">
        <f>VLOOKUP(B118,_Pitch!$A$2:$B$129,2,FALSE)</f>
        <v>G#7</v>
      </c>
      <c r="E118" s="14"/>
      <c r="F118" s="14"/>
    </row>
    <row r="119" spans="1:6">
      <c r="A119" s="7">
        <v>117</v>
      </c>
      <c r="B119" s="7">
        <v>117</v>
      </c>
      <c r="C119" t="str">
        <f>VLOOKUP(B119,_Pitch!$A$2:$B$129,2,FALSE)</f>
        <v>A7</v>
      </c>
      <c r="E119" s="14"/>
      <c r="F119" s="14"/>
    </row>
    <row r="120" spans="1:6">
      <c r="A120" s="7">
        <v>118</v>
      </c>
      <c r="B120" s="7">
        <v>118</v>
      </c>
      <c r="C120" t="str">
        <f>VLOOKUP(B120,_Pitch!$A$2:$B$129,2,FALSE)</f>
        <v>A#7</v>
      </c>
      <c r="E120" s="14"/>
      <c r="F120" s="14"/>
    </row>
    <row r="121" spans="1:6">
      <c r="A121" s="7">
        <v>119</v>
      </c>
      <c r="B121" s="7">
        <v>119</v>
      </c>
      <c r="C121" t="str">
        <f>VLOOKUP(B121,_Pitch!$A$2:$B$129,2,FALSE)</f>
        <v>B7</v>
      </c>
      <c r="E121" s="14"/>
      <c r="F121" s="14"/>
    </row>
    <row r="122" spans="1:6">
      <c r="A122" s="7">
        <v>120</v>
      </c>
      <c r="B122" s="7">
        <v>120</v>
      </c>
      <c r="C122" t="str">
        <f>VLOOKUP(B122,_Pitch!$A$2:$B$129,2,FALSE)</f>
        <v>C8</v>
      </c>
      <c r="E122" s="14"/>
      <c r="F122" s="14"/>
    </row>
    <row r="123" spans="1:6">
      <c r="A123" s="7">
        <v>121</v>
      </c>
      <c r="B123" s="7">
        <v>121</v>
      </c>
      <c r="C123" t="str">
        <f>VLOOKUP(B123,_Pitch!$A$2:$B$129,2,FALSE)</f>
        <v>C#8</v>
      </c>
      <c r="E123" s="14"/>
      <c r="F123" s="14"/>
    </row>
    <row r="124" spans="1:6">
      <c r="A124" s="7">
        <v>122</v>
      </c>
      <c r="B124" s="7">
        <v>122</v>
      </c>
      <c r="C124" t="str">
        <f>VLOOKUP(B124,_Pitch!$A$2:$B$129,2,FALSE)</f>
        <v>D8</v>
      </c>
      <c r="E124" s="14"/>
      <c r="F124" s="14"/>
    </row>
    <row r="125" spans="1:6">
      <c r="A125" s="7">
        <v>123</v>
      </c>
      <c r="B125" s="7">
        <v>123</v>
      </c>
      <c r="C125" t="str">
        <f>VLOOKUP(B125,_Pitch!$A$2:$B$129,2,FALSE)</f>
        <v>D#8</v>
      </c>
      <c r="E125" s="14"/>
      <c r="F125" s="14"/>
    </row>
    <row r="126" spans="1:6">
      <c r="A126" s="7">
        <v>124</v>
      </c>
      <c r="B126" s="7">
        <v>124</v>
      </c>
      <c r="C126" t="str">
        <f>VLOOKUP(B126,_Pitch!$A$2:$B$129,2,FALSE)</f>
        <v>E8</v>
      </c>
      <c r="E126" s="14"/>
      <c r="F126" s="14"/>
    </row>
    <row r="127" spans="1:6">
      <c r="A127" s="7">
        <v>125</v>
      </c>
      <c r="B127" s="7">
        <v>125</v>
      </c>
      <c r="C127" t="str">
        <f>VLOOKUP(B127,_Pitch!$A$2:$B$129,2,FALSE)</f>
        <v>F8</v>
      </c>
      <c r="E127" s="14"/>
      <c r="F127" s="14"/>
    </row>
    <row r="128" spans="1:6">
      <c r="A128" s="7">
        <v>126</v>
      </c>
      <c r="B128" s="7">
        <v>126</v>
      </c>
      <c r="C128" t="str">
        <f>VLOOKUP(B128,_Pitch!$A$2:$B$129,2,FALSE)</f>
        <v>F#8</v>
      </c>
      <c r="E128" s="14"/>
      <c r="F128" s="14"/>
    </row>
    <row r="129" spans="1:6">
      <c r="A129" s="7">
        <v>127</v>
      </c>
      <c r="B129" s="7">
        <v>127</v>
      </c>
      <c r="C129" t="str">
        <f>VLOOKUP(B129,_Pitch!$A$2:$B$129,2,FALSE)</f>
        <v>G8</v>
      </c>
      <c r="E129" s="14"/>
      <c r="F129" s="14"/>
    </row>
  </sheetData>
  <autoFilter ref="A1:G129" xr:uid="{BFCA2928-6345-430A-9085-5F6EE1DEBBF9}"/>
  <phoneticPr fontId="1"/>
  <dataValidations count="1">
    <dataValidation type="list" allowBlank="1" showInputMessage="1" showErrorMessage="1" sqref="F2:F129" xr:uid="{572AD576-4F26-4F97-9756-FB0FBC97ACC0}">
      <formula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53F8E6C5-5977-4815-8A22-04C56187BAFB}">
          <x14:formula1>
            <xm:f>_Articulation!$B$2:B$158</xm:f>
          </x14:formula1>
          <xm:sqref>E2:E129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DE562-9143-48F6-ABBF-8CCCC484D92E}">
  <sheetPr codeName="Sheet23"/>
  <dimension ref="A1:G129"/>
  <sheetViews>
    <sheetView workbookViewId="0">
      <pane ySplit="1" topLeftCell="A2" activePane="bottomLeft" state="frozen"/>
      <selection activeCell="D14" sqref="D14"/>
      <selection pane="bottomLeft" activeCell="D14" sqref="D14"/>
    </sheetView>
  </sheetViews>
  <sheetFormatPr defaultRowHeight="13.5"/>
  <cols>
    <col min="1" max="1" width="4.5" style="7" bestFit="1" customWidth="1"/>
    <col min="2" max="2" width="4.5" bestFit="1" customWidth="1"/>
    <col min="3" max="3" width="5.5" bestFit="1" customWidth="1"/>
    <col min="4" max="4" width="45.625" customWidth="1"/>
    <col min="5" max="5" width="28.25" customWidth="1"/>
    <col min="6" max="6" width="10.25" customWidth="1"/>
  </cols>
  <sheetData>
    <row r="1" spans="1:7" s="6" customFormat="1" ht="141.75" customHeight="1">
      <c r="A1" s="15" t="s">
        <v>130</v>
      </c>
      <c r="B1" s="15" t="s">
        <v>1105</v>
      </c>
      <c r="C1" s="15" t="s">
        <v>1106</v>
      </c>
      <c r="D1" s="16" t="s">
        <v>131</v>
      </c>
      <c r="E1" s="23" t="s">
        <v>132</v>
      </c>
      <c r="F1" s="17" t="s">
        <v>664</v>
      </c>
      <c r="G1" s="15" t="s">
        <v>696</v>
      </c>
    </row>
    <row r="2" spans="1:7">
      <c r="A2" s="7">
        <v>0</v>
      </c>
      <c r="B2" s="7">
        <v>0</v>
      </c>
      <c r="C2" t="str">
        <f>VLOOKUP(B2,_Pitch!$A$2:$B$129,2,FALSE)</f>
        <v>C-2</v>
      </c>
      <c r="D2" s="14"/>
      <c r="E2" s="14"/>
      <c r="F2" s="14"/>
    </row>
    <row r="3" spans="1:7">
      <c r="A3" s="7">
        <v>1</v>
      </c>
      <c r="B3" s="7">
        <v>1</v>
      </c>
      <c r="C3" t="str">
        <f>VLOOKUP(B3,_Pitch!$A$2:$B$129,2,FALSE)</f>
        <v>C#-2</v>
      </c>
      <c r="D3" s="14"/>
      <c r="E3" s="14"/>
      <c r="F3" s="14"/>
    </row>
    <row r="4" spans="1:7">
      <c r="A4" s="7">
        <v>2</v>
      </c>
      <c r="B4" s="7">
        <v>2</v>
      </c>
      <c r="C4" t="str">
        <f>VLOOKUP(B4,_Pitch!$A$2:$B$129,2,FALSE)</f>
        <v>D-2</v>
      </c>
      <c r="D4" s="14"/>
      <c r="E4" s="14"/>
      <c r="F4" s="14"/>
    </row>
    <row r="5" spans="1:7">
      <c r="A5" s="7">
        <v>3</v>
      </c>
      <c r="B5" s="7">
        <v>3</v>
      </c>
      <c r="C5" t="str">
        <f>VLOOKUP(B5,_Pitch!$A$2:$B$129,2,FALSE)</f>
        <v>D#-2</v>
      </c>
      <c r="D5" s="14"/>
      <c r="E5" s="14"/>
      <c r="F5" s="14"/>
    </row>
    <row r="6" spans="1:7">
      <c r="A6" s="7">
        <v>4</v>
      </c>
      <c r="B6" s="7">
        <v>4</v>
      </c>
      <c r="C6" t="str">
        <f>VLOOKUP(B6,_Pitch!$A$2:$B$129,2,FALSE)</f>
        <v>E-2</v>
      </c>
      <c r="D6" s="14"/>
      <c r="E6" s="14"/>
      <c r="F6" s="14"/>
    </row>
    <row r="7" spans="1:7">
      <c r="A7" s="7">
        <v>5</v>
      </c>
      <c r="B7" s="7">
        <v>5</v>
      </c>
      <c r="C7" t="str">
        <f>VLOOKUP(B7,_Pitch!$A$2:$B$129,2,FALSE)</f>
        <v>F-2</v>
      </c>
      <c r="D7" s="14"/>
      <c r="E7" s="14"/>
      <c r="F7" s="14"/>
    </row>
    <row r="8" spans="1:7">
      <c r="A8" s="7">
        <v>6</v>
      </c>
      <c r="B8" s="7">
        <v>6</v>
      </c>
      <c r="C8" t="str">
        <f>VLOOKUP(B8,_Pitch!$A$2:$B$129,2,FALSE)</f>
        <v>F#-2</v>
      </c>
      <c r="D8" s="14"/>
      <c r="E8" s="14"/>
      <c r="F8" s="14"/>
    </row>
    <row r="9" spans="1:7">
      <c r="A9" s="7">
        <v>7</v>
      </c>
      <c r="B9" s="7">
        <v>7</v>
      </c>
      <c r="C9" t="str">
        <f>VLOOKUP(B9,_Pitch!$A$2:$B$129,2,FALSE)</f>
        <v>G-2</v>
      </c>
      <c r="D9" s="14"/>
      <c r="E9" s="14"/>
      <c r="F9" s="14"/>
    </row>
    <row r="10" spans="1:7">
      <c r="A10" s="7">
        <v>8</v>
      </c>
      <c r="B10" s="7">
        <v>8</v>
      </c>
      <c r="C10" t="str">
        <f>VLOOKUP(B10,_Pitch!$A$2:$B$129,2,FALSE)</f>
        <v>G#-2</v>
      </c>
      <c r="D10" s="14"/>
      <c r="E10" s="14"/>
      <c r="F10" s="14"/>
    </row>
    <row r="11" spans="1:7">
      <c r="A11" s="7">
        <v>9</v>
      </c>
      <c r="B11" s="7">
        <v>9</v>
      </c>
      <c r="C11" t="str">
        <f>VLOOKUP(B11,_Pitch!$A$2:$B$129,2,FALSE)</f>
        <v>A-2</v>
      </c>
      <c r="D11" s="14"/>
      <c r="E11" s="14"/>
      <c r="F11" s="14"/>
    </row>
    <row r="12" spans="1:7">
      <c r="A12" s="7">
        <v>10</v>
      </c>
      <c r="B12" s="7">
        <v>10</v>
      </c>
      <c r="C12" t="str">
        <f>VLOOKUP(B12,_Pitch!$A$2:$B$129,2,FALSE)</f>
        <v>A#-2</v>
      </c>
      <c r="D12" s="14"/>
      <c r="E12" s="14"/>
      <c r="F12" s="14"/>
    </row>
    <row r="13" spans="1:7">
      <c r="A13" s="7">
        <v>11</v>
      </c>
      <c r="B13" s="7">
        <v>11</v>
      </c>
      <c r="C13" t="str">
        <f>VLOOKUP(B13,_Pitch!$A$2:$B$129,2,FALSE)</f>
        <v>B-2</v>
      </c>
      <c r="D13" s="14"/>
      <c r="E13" s="14"/>
      <c r="F13" s="14"/>
    </row>
    <row r="14" spans="1:7">
      <c r="A14" s="7">
        <v>12</v>
      </c>
      <c r="B14" s="7">
        <v>12</v>
      </c>
      <c r="C14" t="str">
        <f>VLOOKUP(B14,_Pitch!$A$2:$B$129,2,FALSE)</f>
        <v>C-1</v>
      </c>
      <c r="D14" s="14"/>
      <c r="E14" s="14"/>
      <c r="F14" s="14"/>
    </row>
    <row r="15" spans="1:7">
      <c r="A15" s="7">
        <v>13</v>
      </c>
      <c r="B15" s="7">
        <v>13</v>
      </c>
      <c r="C15" t="str">
        <f>VLOOKUP(B15,_Pitch!$A$2:$B$129,2,FALSE)</f>
        <v>C#-1</v>
      </c>
      <c r="D15" s="14"/>
      <c r="E15" s="14"/>
      <c r="F15" s="14"/>
    </row>
    <row r="16" spans="1:7">
      <c r="A16" s="7">
        <v>14</v>
      </c>
      <c r="B16" s="7">
        <v>14</v>
      </c>
      <c r="C16" t="str">
        <f>VLOOKUP(B16,_Pitch!$A$2:$B$129,2,FALSE)</f>
        <v>D-1</v>
      </c>
      <c r="D16" s="14"/>
      <c r="E16" s="14"/>
      <c r="F16" s="14"/>
    </row>
    <row r="17" spans="1:6">
      <c r="A17" s="7">
        <v>15</v>
      </c>
      <c r="B17" s="7">
        <v>15</v>
      </c>
      <c r="C17" t="str">
        <f>VLOOKUP(B17,_Pitch!$A$2:$B$129,2,FALSE)</f>
        <v>D#-1</v>
      </c>
      <c r="D17" s="14"/>
      <c r="E17" s="14"/>
      <c r="F17" s="14"/>
    </row>
    <row r="18" spans="1:6">
      <c r="A18" s="7">
        <v>16</v>
      </c>
      <c r="B18" s="7">
        <v>16</v>
      </c>
      <c r="C18" t="str">
        <f>VLOOKUP(B18,_Pitch!$A$2:$B$129,2,FALSE)</f>
        <v>E-1</v>
      </c>
      <c r="D18" s="14"/>
      <c r="E18" s="14"/>
      <c r="F18" s="14"/>
    </row>
    <row r="19" spans="1:6">
      <c r="A19" s="7">
        <v>17</v>
      </c>
      <c r="B19" s="7">
        <v>17</v>
      </c>
      <c r="C19" t="str">
        <f>VLOOKUP(B19,_Pitch!$A$2:$B$129,2,FALSE)</f>
        <v>F-1</v>
      </c>
      <c r="D19" s="14"/>
      <c r="E19" s="14"/>
      <c r="F19" s="14"/>
    </row>
    <row r="20" spans="1:6">
      <c r="A20" s="7">
        <v>18</v>
      </c>
      <c r="B20" s="7">
        <v>18</v>
      </c>
      <c r="C20" t="str">
        <f>VLOOKUP(B20,_Pitch!$A$2:$B$129,2,FALSE)</f>
        <v>F#-1</v>
      </c>
      <c r="D20" s="14"/>
      <c r="E20" s="14"/>
      <c r="F20" s="14"/>
    </row>
    <row r="21" spans="1:6">
      <c r="A21" s="7">
        <v>19</v>
      </c>
      <c r="B21" s="7">
        <v>19</v>
      </c>
      <c r="C21" t="str">
        <f>VLOOKUP(B21,_Pitch!$A$2:$B$129,2,FALSE)</f>
        <v>G-1</v>
      </c>
      <c r="D21" s="14"/>
      <c r="E21" s="14"/>
      <c r="F21" s="14"/>
    </row>
    <row r="22" spans="1:6">
      <c r="A22" s="7">
        <v>20</v>
      </c>
      <c r="B22" s="7">
        <v>20</v>
      </c>
      <c r="C22" t="str">
        <f>VLOOKUP(B22,_Pitch!$A$2:$B$129,2,FALSE)</f>
        <v>G#-1</v>
      </c>
      <c r="D22" s="14"/>
      <c r="E22" s="14"/>
      <c r="F22" s="14"/>
    </row>
    <row r="23" spans="1:6">
      <c r="A23" s="7">
        <v>21</v>
      </c>
      <c r="B23" s="7">
        <v>21</v>
      </c>
      <c r="C23" t="str">
        <f>VLOOKUP(B23,_Pitch!$A$2:$B$129,2,FALSE)</f>
        <v>A-1</v>
      </c>
      <c r="D23" s="14" t="s">
        <v>697</v>
      </c>
      <c r="E23" s="14"/>
      <c r="F23" s="14"/>
    </row>
    <row r="24" spans="1:6">
      <c r="A24" s="7">
        <v>22</v>
      </c>
      <c r="B24" s="7">
        <v>22</v>
      </c>
      <c r="C24" t="str">
        <f>VLOOKUP(B24,_Pitch!$A$2:$B$129,2,FALSE)</f>
        <v>A#-1</v>
      </c>
      <c r="D24" s="14"/>
      <c r="E24" s="14"/>
      <c r="F24" s="14"/>
    </row>
    <row r="25" spans="1:6">
      <c r="A25" s="7">
        <v>23</v>
      </c>
      <c r="B25" s="7">
        <v>23</v>
      </c>
      <c r="C25" t="str">
        <f>VLOOKUP(B25,_Pitch!$A$2:$B$129,2,FALSE)</f>
        <v>B-1</v>
      </c>
      <c r="D25" s="14"/>
      <c r="E25" s="14"/>
      <c r="F25" s="14"/>
    </row>
    <row r="26" spans="1:6">
      <c r="A26" s="7">
        <v>24</v>
      </c>
      <c r="B26" s="7">
        <v>24</v>
      </c>
      <c r="C26" t="str">
        <f>VLOOKUP(B26,_Pitch!$A$2:$B$129,2,FALSE)</f>
        <v>C0</v>
      </c>
      <c r="D26" s="14"/>
      <c r="E26" s="14"/>
      <c r="F26" s="14"/>
    </row>
    <row r="27" spans="1:6">
      <c r="A27" s="7">
        <v>25</v>
      </c>
      <c r="B27" s="7">
        <v>25</v>
      </c>
      <c r="C27" t="str">
        <f>VLOOKUP(B27,_Pitch!$A$2:$B$129,2,FALSE)</f>
        <v>C#0</v>
      </c>
      <c r="D27" s="14"/>
      <c r="E27" s="14"/>
      <c r="F27" s="14"/>
    </row>
    <row r="28" spans="1:6">
      <c r="A28" s="7">
        <v>26</v>
      </c>
      <c r="B28" s="7">
        <v>26</v>
      </c>
      <c r="C28" t="str">
        <f>VLOOKUP(B28,_Pitch!$A$2:$B$129,2,FALSE)</f>
        <v>D0</v>
      </c>
      <c r="D28" s="14"/>
      <c r="E28" s="14"/>
      <c r="F28" s="14"/>
    </row>
    <row r="29" spans="1:6">
      <c r="A29" s="7">
        <v>27</v>
      </c>
      <c r="B29" s="7">
        <v>27</v>
      </c>
      <c r="C29" t="str">
        <f>VLOOKUP(B29,_Pitch!$A$2:$B$129,2,FALSE)</f>
        <v>D#0</v>
      </c>
      <c r="D29" s="14"/>
      <c r="E29" s="14"/>
      <c r="F29" s="14"/>
    </row>
    <row r="30" spans="1:6">
      <c r="A30" s="7">
        <v>28</v>
      </c>
      <c r="B30" s="7">
        <v>28</v>
      </c>
      <c r="C30" t="str">
        <f>VLOOKUP(B30,_Pitch!$A$2:$B$129,2,FALSE)</f>
        <v>E0</v>
      </c>
      <c r="D30" s="14"/>
      <c r="E30" s="14"/>
      <c r="F30" s="14"/>
    </row>
    <row r="31" spans="1:6">
      <c r="A31" s="7">
        <v>29</v>
      </c>
      <c r="B31" s="7">
        <v>29</v>
      </c>
      <c r="C31" t="str">
        <f>VLOOKUP(B31,_Pitch!$A$2:$B$129,2,FALSE)</f>
        <v>F0</v>
      </c>
      <c r="D31" s="14"/>
      <c r="E31" s="14"/>
      <c r="F31" s="14"/>
    </row>
    <row r="32" spans="1:6">
      <c r="A32" s="7">
        <v>30</v>
      </c>
      <c r="B32" s="7">
        <v>30</v>
      </c>
      <c r="C32" t="str">
        <f>VLOOKUP(B32,_Pitch!$A$2:$B$129,2,FALSE)</f>
        <v>F#0</v>
      </c>
      <c r="D32" s="14" t="s">
        <v>698</v>
      </c>
      <c r="E32" s="14"/>
      <c r="F32" s="14"/>
    </row>
    <row r="33" spans="1:6">
      <c r="A33" s="7">
        <v>31</v>
      </c>
      <c r="B33" s="7">
        <v>31</v>
      </c>
      <c r="C33" t="str">
        <f>VLOOKUP(B33,_Pitch!$A$2:$B$129,2,FALSE)</f>
        <v>G0</v>
      </c>
      <c r="D33" s="14" t="s">
        <v>330</v>
      </c>
      <c r="E33" s="14"/>
      <c r="F33" s="14"/>
    </row>
    <row r="34" spans="1:6">
      <c r="A34" s="7">
        <v>32</v>
      </c>
      <c r="B34" s="7">
        <v>32</v>
      </c>
      <c r="C34" t="str">
        <f>VLOOKUP(B34,_Pitch!$A$2:$B$129,2,FALSE)</f>
        <v>G#0</v>
      </c>
      <c r="D34" s="14" t="s">
        <v>699</v>
      </c>
      <c r="E34" s="14"/>
      <c r="F34" s="14"/>
    </row>
    <row r="35" spans="1:6">
      <c r="A35" s="7">
        <v>33</v>
      </c>
      <c r="B35" s="7">
        <v>33</v>
      </c>
      <c r="C35" t="str">
        <f>VLOOKUP(B35,_Pitch!$A$2:$B$129,2,FALSE)</f>
        <v>A0</v>
      </c>
      <c r="D35" s="14" t="s">
        <v>697</v>
      </c>
      <c r="E35" s="14"/>
      <c r="F35" s="14"/>
    </row>
    <row r="36" spans="1:6">
      <c r="A36" s="7">
        <v>34</v>
      </c>
      <c r="B36" s="7">
        <v>34</v>
      </c>
      <c r="C36" t="str">
        <f>VLOOKUP(B36,_Pitch!$A$2:$B$129,2,FALSE)</f>
        <v>A#0</v>
      </c>
      <c r="D36" s="14" t="s">
        <v>700</v>
      </c>
      <c r="E36" s="14"/>
      <c r="F36" s="14"/>
    </row>
    <row r="37" spans="1:6">
      <c r="A37" s="7">
        <v>35</v>
      </c>
      <c r="B37" s="7">
        <v>35</v>
      </c>
      <c r="C37" t="str">
        <f>VLOOKUP(B37,_Pitch!$A$2:$B$129,2,FALSE)</f>
        <v>B0</v>
      </c>
      <c r="D37" s="14" t="s">
        <v>231</v>
      </c>
      <c r="E37" s="14"/>
      <c r="F37" s="14"/>
    </row>
    <row r="38" spans="1:6">
      <c r="A38" s="7">
        <v>36</v>
      </c>
      <c r="B38" s="7">
        <v>36</v>
      </c>
      <c r="C38" t="str">
        <f>VLOOKUP(B38,_Pitch!$A$2:$B$129,2,FALSE)</f>
        <v>C1</v>
      </c>
      <c r="D38" s="14" t="s">
        <v>231</v>
      </c>
      <c r="E38" s="14" t="s">
        <v>133</v>
      </c>
      <c r="F38" s="14"/>
    </row>
    <row r="39" spans="1:6">
      <c r="A39" s="7">
        <v>37</v>
      </c>
      <c r="B39" s="7">
        <v>37</v>
      </c>
      <c r="C39" t="str">
        <f>VLOOKUP(B39,_Pitch!$A$2:$B$129,2,FALSE)</f>
        <v>C#1</v>
      </c>
      <c r="D39" s="14" t="s">
        <v>701</v>
      </c>
      <c r="E39" s="14" t="s">
        <v>145</v>
      </c>
      <c r="F39" s="14"/>
    </row>
    <row r="40" spans="1:6">
      <c r="A40" s="7">
        <v>38</v>
      </c>
      <c r="B40" s="7">
        <v>38</v>
      </c>
      <c r="C40" t="str">
        <f>VLOOKUP(B40,_Pitch!$A$2:$B$129,2,FALSE)</f>
        <v>D1</v>
      </c>
      <c r="D40" s="14" t="s">
        <v>561</v>
      </c>
      <c r="E40" s="14" t="s">
        <v>561</v>
      </c>
      <c r="F40" s="14"/>
    </row>
    <row r="41" spans="1:6">
      <c r="A41" s="7">
        <v>39</v>
      </c>
      <c r="B41" s="7">
        <v>39</v>
      </c>
      <c r="C41" t="str">
        <f>VLOOKUP(B41,_Pitch!$A$2:$B$129,2,FALSE)</f>
        <v>D#1</v>
      </c>
      <c r="D41" s="14" t="s">
        <v>702</v>
      </c>
      <c r="E41" s="14"/>
      <c r="F41" s="14"/>
    </row>
    <row r="42" spans="1:6">
      <c r="A42" s="7">
        <v>40</v>
      </c>
      <c r="B42" s="7">
        <v>40</v>
      </c>
      <c r="C42" t="str">
        <f>VLOOKUP(B42,_Pitch!$A$2:$B$129,2,FALSE)</f>
        <v>E1</v>
      </c>
      <c r="D42" s="14" t="s">
        <v>703</v>
      </c>
      <c r="E42" s="14" t="s">
        <v>1077</v>
      </c>
      <c r="F42" s="14"/>
    </row>
    <row r="43" spans="1:6">
      <c r="A43" s="7">
        <v>41</v>
      </c>
      <c r="B43" s="7">
        <v>41</v>
      </c>
      <c r="C43" t="str">
        <f>VLOOKUP(B43,_Pitch!$A$2:$B$129,2,FALSE)</f>
        <v>F1</v>
      </c>
      <c r="D43" s="14" t="s">
        <v>704</v>
      </c>
      <c r="E43" s="14" t="s">
        <v>557</v>
      </c>
      <c r="F43" s="14"/>
    </row>
    <row r="44" spans="1:6">
      <c r="A44" s="7">
        <v>42</v>
      </c>
      <c r="B44" s="7">
        <v>42</v>
      </c>
      <c r="C44" t="str">
        <f>VLOOKUP(B44,_Pitch!$A$2:$B$129,2,FALSE)</f>
        <v>F#1</v>
      </c>
      <c r="D44" s="14" t="s">
        <v>705</v>
      </c>
      <c r="E44" s="14" t="s">
        <v>153</v>
      </c>
      <c r="F44" s="14"/>
    </row>
    <row r="45" spans="1:6">
      <c r="A45" s="7">
        <v>43</v>
      </c>
      <c r="B45" s="7">
        <v>43</v>
      </c>
      <c r="C45" t="str">
        <f>VLOOKUP(B45,_Pitch!$A$2:$B$129,2,FALSE)</f>
        <v>G1</v>
      </c>
      <c r="D45" s="14" t="s">
        <v>706</v>
      </c>
      <c r="E45" s="14" t="s">
        <v>558</v>
      </c>
      <c r="F45" s="14"/>
    </row>
    <row r="46" spans="1:6">
      <c r="A46" s="7">
        <v>44</v>
      </c>
      <c r="B46" s="7">
        <v>44</v>
      </c>
      <c r="C46" t="str">
        <f>VLOOKUP(B46,_Pitch!$A$2:$B$129,2,FALSE)</f>
        <v>G#1</v>
      </c>
      <c r="D46" s="14" t="s">
        <v>699</v>
      </c>
      <c r="E46" s="14" t="s">
        <v>403</v>
      </c>
      <c r="F46" s="14"/>
    </row>
    <row r="47" spans="1:6">
      <c r="A47" s="7">
        <v>45</v>
      </c>
      <c r="B47" s="7">
        <v>45</v>
      </c>
      <c r="C47" t="str">
        <f>VLOOKUP(B47,_Pitch!$A$2:$B$129,2,FALSE)</f>
        <v>A1</v>
      </c>
      <c r="D47" s="14" t="s">
        <v>707</v>
      </c>
      <c r="E47" s="14" t="s">
        <v>239</v>
      </c>
      <c r="F47" s="14"/>
    </row>
    <row r="48" spans="1:6">
      <c r="A48" s="7">
        <v>46</v>
      </c>
      <c r="B48" s="7">
        <v>46</v>
      </c>
      <c r="C48" t="str">
        <f>VLOOKUP(B48,_Pitch!$A$2:$B$129,2,FALSE)</f>
        <v>A#1</v>
      </c>
      <c r="D48" s="14" t="s">
        <v>708</v>
      </c>
      <c r="E48" s="14" t="s">
        <v>164</v>
      </c>
      <c r="F48" s="14"/>
    </row>
    <row r="49" spans="1:6">
      <c r="A49" s="7">
        <v>47</v>
      </c>
      <c r="B49" s="7">
        <v>47</v>
      </c>
      <c r="C49" t="str">
        <f>VLOOKUP(B49,_Pitch!$A$2:$B$129,2,FALSE)</f>
        <v>B1</v>
      </c>
      <c r="D49" s="14" t="s">
        <v>709</v>
      </c>
      <c r="E49" s="14" t="s">
        <v>559</v>
      </c>
      <c r="F49" s="14"/>
    </row>
    <row r="50" spans="1:6">
      <c r="A50" s="7">
        <v>48</v>
      </c>
      <c r="B50" s="7">
        <v>48</v>
      </c>
      <c r="C50" t="str">
        <f>VLOOKUP(B50,_Pitch!$A$2:$B$129,2,FALSE)</f>
        <v>C2</v>
      </c>
      <c r="D50" s="14" t="s">
        <v>710</v>
      </c>
      <c r="E50" s="14" t="s">
        <v>560</v>
      </c>
      <c r="F50" s="14"/>
    </row>
    <row r="51" spans="1:6">
      <c r="A51" s="7">
        <v>49</v>
      </c>
      <c r="B51" s="7">
        <v>49</v>
      </c>
      <c r="C51" t="str">
        <f>VLOOKUP(B51,_Pitch!$A$2:$B$129,2,FALSE)</f>
        <v>C#2</v>
      </c>
      <c r="D51" s="14" t="s">
        <v>711</v>
      </c>
      <c r="E51" s="14" t="s">
        <v>568</v>
      </c>
      <c r="F51" s="14"/>
    </row>
    <row r="52" spans="1:6">
      <c r="A52" s="7">
        <v>50</v>
      </c>
      <c r="B52" s="7">
        <v>50</v>
      </c>
      <c r="C52" t="str">
        <f>VLOOKUP(B52,_Pitch!$A$2:$B$129,2,FALSE)</f>
        <v>D2</v>
      </c>
      <c r="D52" s="14" t="s">
        <v>710</v>
      </c>
      <c r="E52" s="14" t="s">
        <v>560</v>
      </c>
      <c r="F52" s="14" t="s">
        <v>290</v>
      </c>
    </row>
    <row r="53" spans="1:6">
      <c r="A53" s="7">
        <v>51</v>
      </c>
      <c r="B53" s="7">
        <v>51</v>
      </c>
      <c r="C53" t="str">
        <f>VLOOKUP(B53,_Pitch!$A$2:$B$129,2,FALSE)</f>
        <v>D#2</v>
      </c>
      <c r="D53" s="14" t="s">
        <v>712</v>
      </c>
      <c r="E53" s="14" t="s">
        <v>179</v>
      </c>
      <c r="F53" s="14"/>
    </row>
    <row r="54" spans="1:6">
      <c r="A54" s="7">
        <v>52</v>
      </c>
      <c r="B54" s="7">
        <v>52</v>
      </c>
      <c r="C54" t="str">
        <f>VLOOKUP(B54,_Pitch!$A$2:$B$129,2,FALSE)</f>
        <v>E2</v>
      </c>
      <c r="D54" s="14" t="s">
        <v>905</v>
      </c>
      <c r="E54" s="14" t="s">
        <v>905</v>
      </c>
      <c r="F54" s="14"/>
    </row>
    <row r="55" spans="1:6">
      <c r="A55" s="7">
        <v>53</v>
      </c>
      <c r="B55" s="7">
        <v>53</v>
      </c>
      <c r="C55" t="str">
        <f>VLOOKUP(B55,_Pitch!$A$2:$B$129,2,FALSE)</f>
        <v>F2</v>
      </c>
      <c r="D55" s="14" t="s">
        <v>713</v>
      </c>
      <c r="E55" s="14" t="s">
        <v>181</v>
      </c>
      <c r="F55" s="14"/>
    </row>
    <row r="56" spans="1:6">
      <c r="A56" s="7">
        <v>54</v>
      </c>
      <c r="B56" s="7">
        <v>54</v>
      </c>
      <c r="C56" t="str">
        <f>VLOOKUP(B56,_Pitch!$A$2:$B$129,2,FALSE)</f>
        <v>F#2</v>
      </c>
      <c r="D56" s="14" t="s">
        <v>264</v>
      </c>
      <c r="E56" s="14"/>
      <c r="F56" s="14"/>
    </row>
    <row r="57" spans="1:6">
      <c r="A57" s="7">
        <v>55</v>
      </c>
      <c r="B57" s="7">
        <v>55</v>
      </c>
      <c r="C57" t="str">
        <f>VLOOKUP(B57,_Pitch!$A$2:$B$129,2,FALSE)</f>
        <v>G2</v>
      </c>
      <c r="D57" s="14" t="s">
        <v>904</v>
      </c>
      <c r="E57" s="14" t="s">
        <v>904</v>
      </c>
      <c r="F57" s="14"/>
    </row>
    <row r="58" spans="1:6">
      <c r="A58" s="7">
        <v>56</v>
      </c>
      <c r="B58" s="7">
        <v>56</v>
      </c>
      <c r="C58" t="str">
        <f>VLOOKUP(B58,_Pitch!$A$2:$B$129,2,FALSE)</f>
        <v>G#2</v>
      </c>
      <c r="D58" s="14" t="s">
        <v>714</v>
      </c>
      <c r="E58" s="14"/>
      <c r="F58" s="14"/>
    </row>
    <row r="59" spans="1:6">
      <c r="A59" s="7">
        <v>57</v>
      </c>
      <c r="B59" s="7">
        <v>57</v>
      </c>
      <c r="C59" t="str">
        <f>VLOOKUP(B59,_Pitch!$A$2:$B$129,2,FALSE)</f>
        <v>A2</v>
      </c>
      <c r="D59" s="14" t="s">
        <v>715</v>
      </c>
      <c r="E59" s="14" t="s">
        <v>569</v>
      </c>
      <c r="F59" s="14"/>
    </row>
    <row r="60" spans="1:6">
      <c r="A60" s="7">
        <v>58</v>
      </c>
      <c r="B60" s="7">
        <v>58</v>
      </c>
      <c r="C60" t="str">
        <f>VLOOKUP(B60,_Pitch!$A$2:$B$129,2,FALSE)</f>
        <v>A#2</v>
      </c>
      <c r="D60" s="14" t="s">
        <v>716</v>
      </c>
      <c r="E60" s="14"/>
      <c r="F60" s="14"/>
    </row>
    <row r="61" spans="1:6">
      <c r="A61" s="7">
        <v>59</v>
      </c>
      <c r="B61" s="7">
        <v>59</v>
      </c>
      <c r="C61" t="str">
        <f>VLOOKUP(B61,_Pitch!$A$2:$B$129,2,FALSE)</f>
        <v>B2</v>
      </c>
      <c r="D61" s="14" t="s">
        <v>717</v>
      </c>
      <c r="E61" s="14" t="s">
        <v>182</v>
      </c>
      <c r="F61" s="14"/>
    </row>
    <row r="62" spans="1:6">
      <c r="A62" s="7">
        <v>60</v>
      </c>
      <c r="B62" s="7">
        <v>60</v>
      </c>
      <c r="C62" t="str">
        <f>VLOOKUP(B62,_Pitch!$A$2:$B$129,2,FALSE)</f>
        <v>C3</v>
      </c>
      <c r="D62" s="14" t="s">
        <v>699</v>
      </c>
      <c r="E62" s="14" t="s">
        <v>403</v>
      </c>
      <c r="F62" s="14" t="s">
        <v>290</v>
      </c>
    </row>
    <row r="63" spans="1:6">
      <c r="A63" s="7">
        <v>61</v>
      </c>
      <c r="B63" s="7">
        <v>61</v>
      </c>
      <c r="C63" t="str">
        <f>VLOOKUP(B63,_Pitch!$A$2:$B$129,2,FALSE)</f>
        <v>C#3</v>
      </c>
      <c r="D63" s="14" t="s">
        <v>697</v>
      </c>
      <c r="E63" s="14" t="s">
        <v>403</v>
      </c>
      <c r="F63" s="14" t="s">
        <v>290</v>
      </c>
    </row>
    <row r="64" spans="1:6">
      <c r="A64" s="7">
        <v>62</v>
      </c>
      <c r="B64" s="7">
        <v>62</v>
      </c>
      <c r="C64" t="str">
        <f>VLOOKUP(B64,_Pitch!$A$2:$B$129,2,FALSE)</f>
        <v>D3</v>
      </c>
      <c r="D64" s="14" t="s">
        <v>698</v>
      </c>
      <c r="E64" s="14" t="s">
        <v>149</v>
      </c>
      <c r="F64" s="14"/>
    </row>
    <row r="65" spans="1:6">
      <c r="A65" s="7">
        <v>63</v>
      </c>
      <c r="B65" s="7">
        <v>63</v>
      </c>
      <c r="C65" t="str">
        <f>VLOOKUP(B65,_Pitch!$A$2:$B$129,2,FALSE)</f>
        <v>D#3</v>
      </c>
      <c r="D65" s="14"/>
      <c r="E65" s="14"/>
      <c r="F65" s="14"/>
    </row>
    <row r="66" spans="1:6">
      <c r="A66" s="7">
        <v>64</v>
      </c>
      <c r="B66" s="7">
        <v>64</v>
      </c>
      <c r="C66" t="str">
        <f>VLOOKUP(B66,_Pitch!$A$2:$B$129,2,FALSE)</f>
        <v>E3</v>
      </c>
      <c r="D66" s="14" t="s">
        <v>718</v>
      </c>
      <c r="E66" s="14" t="s">
        <v>159</v>
      </c>
      <c r="F66" s="14"/>
    </row>
    <row r="67" spans="1:6">
      <c r="A67" s="7">
        <v>65</v>
      </c>
      <c r="B67" s="7">
        <v>65</v>
      </c>
      <c r="C67" t="str">
        <f>VLOOKUP(B67,_Pitch!$A$2:$B$129,2,FALSE)</f>
        <v>F3</v>
      </c>
      <c r="D67" s="14" t="s">
        <v>719</v>
      </c>
      <c r="E67" s="14" t="s">
        <v>160</v>
      </c>
      <c r="F67" s="14"/>
    </row>
    <row r="68" spans="1:6">
      <c r="A68" s="7">
        <v>66</v>
      </c>
      <c r="B68" s="7">
        <v>66</v>
      </c>
      <c r="C68" t="str">
        <f>VLOOKUP(B68,_Pitch!$A$2:$B$129,2,FALSE)</f>
        <v>F#3</v>
      </c>
      <c r="D68" s="14"/>
      <c r="E68" s="14"/>
      <c r="F68" s="14"/>
    </row>
    <row r="69" spans="1:6">
      <c r="A69" s="7">
        <v>67</v>
      </c>
      <c r="B69" s="7">
        <v>67</v>
      </c>
      <c r="C69" t="str">
        <f>VLOOKUP(B69,_Pitch!$A$2:$B$129,2,FALSE)</f>
        <v>G3</v>
      </c>
      <c r="D69" s="14" t="s">
        <v>720</v>
      </c>
      <c r="E69" s="14" t="s">
        <v>161</v>
      </c>
      <c r="F69" s="14"/>
    </row>
    <row r="70" spans="1:6">
      <c r="A70" s="7">
        <v>68</v>
      </c>
      <c r="B70" s="7">
        <v>68</v>
      </c>
      <c r="C70" t="str">
        <f>VLOOKUP(B70,_Pitch!$A$2:$B$129,2,FALSE)</f>
        <v>G#3</v>
      </c>
      <c r="D70" s="14"/>
      <c r="E70" s="14"/>
      <c r="F70" s="14"/>
    </row>
    <row r="71" spans="1:6">
      <c r="A71" s="7">
        <v>69</v>
      </c>
      <c r="B71" s="7">
        <v>69</v>
      </c>
      <c r="C71" t="str">
        <f>VLOOKUP(B71,_Pitch!$A$2:$B$129,2,FALSE)</f>
        <v>A3</v>
      </c>
      <c r="D71" s="14" t="s">
        <v>721</v>
      </c>
      <c r="E71" s="14" t="s">
        <v>162</v>
      </c>
      <c r="F71" s="14"/>
    </row>
    <row r="72" spans="1:6">
      <c r="A72" s="7">
        <v>70</v>
      </c>
      <c r="B72" s="7">
        <v>70</v>
      </c>
      <c r="C72" t="str">
        <f>VLOOKUP(B72,_Pitch!$A$2:$B$129,2,FALSE)</f>
        <v>A#3</v>
      </c>
      <c r="D72" s="14"/>
      <c r="E72" s="14"/>
      <c r="F72" s="14"/>
    </row>
    <row r="73" spans="1:6">
      <c r="A73" s="7">
        <v>71</v>
      </c>
      <c r="B73" s="7">
        <v>71</v>
      </c>
      <c r="C73" t="str">
        <f>VLOOKUP(B73,_Pitch!$A$2:$B$129,2,FALSE)</f>
        <v>B3</v>
      </c>
      <c r="D73" s="14" t="s">
        <v>722</v>
      </c>
      <c r="E73" s="14" t="s">
        <v>163</v>
      </c>
      <c r="F73" s="14"/>
    </row>
    <row r="74" spans="1:6">
      <c r="A74" s="7">
        <v>72</v>
      </c>
      <c r="B74" s="7">
        <v>72</v>
      </c>
      <c r="C74" t="str">
        <f>VLOOKUP(B74,_Pitch!$A$2:$B$129,2,FALSE)</f>
        <v>C4</v>
      </c>
      <c r="D74" s="14" t="s">
        <v>699</v>
      </c>
      <c r="E74" s="14" t="s">
        <v>403</v>
      </c>
      <c r="F74" s="14" t="s">
        <v>290</v>
      </c>
    </row>
    <row r="75" spans="1:6">
      <c r="A75" s="7">
        <v>73</v>
      </c>
      <c r="B75" s="7">
        <v>73</v>
      </c>
      <c r="C75" t="str">
        <f>VLOOKUP(B75,_Pitch!$A$2:$B$129,2,FALSE)</f>
        <v>C#4</v>
      </c>
      <c r="D75" s="14" t="s">
        <v>697</v>
      </c>
      <c r="E75" s="14" t="s">
        <v>1068</v>
      </c>
      <c r="F75" s="14"/>
    </row>
    <row r="76" spans="1:6">
      <c r="A76" s="7">
        <v>74</v>
      </c>
      <c r="B76" s="7">
        <v>74</v>
      </c>
      <c r="C76" t="str">
        <f>VLOOKUP(B76,_Pitch!$A$2:$B$129,2,FALSE)</f>
        <v>D4</v>
      </c>
      <c r="D76" s="14" t="s">
        <v>705</v>
      </c>
      <c r="E76" s="14"/>
      <c r="F76" s="14"/>
    </row>
    <row r="77" spans="1:6">
      <c r="A77" s="7">
        <v>75</v>
      </c>
      <c r="B77" s="7">
        <v>75</v>
      </c>
      <c r="C77" t="str">
        <f>VLOOKUP(B77,_Pitch!$A$2:$B$129,2,FALSE)</f>
        <v>D#4</v>
      </c>
      <c r="D77" s="14"/>
      <c r="E77" s="14"/>
      <c r="F77" s="14"/>
    </row>
    <row r="78" spans="1:6">
      <c r="A78" s="7">
        <v>76</v>
      </c>
      <c r="B78" s="7">
        <v>76</v>
      </c>
      <c r="C78" t="str">
        <f>VLOOKUP(B78,_Pitch!$A$2:$B$129,2,FALSE)</f>
        <v>E4</v>
      </c>
      <c r="D78" s="14" t="s">
        <v>723</v>
      </c>
      <c r="E78" s="14" t="s">
        <v>165</v>
      </c>
      <c r="F78" s="14" t="s">
        <v>290</v>
      </c>
    </row>
    <row r="79" spans="1:6">
      <c r="A79" s="7">
        <v>77</v>
      </c>
      <c r="B79" s="7">
        <v>77</v>
      </c>
      <c r="C79" t="str">
        <f>VLOOKUP(B79,_Pitch!$A$2:$B$129,2,FALSE)</f>
        <v>F4</v>
      </c>
      <c r="D79" s="14" t="s">
        <v>724</v>
      </c>
      <c r="E79" s="14" t="s">
        <v>166</v>
      </c>
      <c r="F79" s="14"/>
    </row>
    <row r="80" spans="1:6">
      <c r="A80" s="7">
        <v>78</v>
      </c>
      <c r="B80" s="7">
        <v>78</v>
      </c>
      <c r="C80" t="str">
        <f>VLOOKUP(B80,_Pitch!$A$2:$B$129,2,FALSE)</f>
        <v>F#4</v>
      </c>
      <c r="D80" s="14"/>
      <c r="E80" s="14"/>
      <c r="F80" s="14"/>
    </row>
    <row r="81" spans="1:6">
      <c r="A81" s="7">
        <v>79</v>
      </c>
      <c r="B81" s="7">
        <v>79</v>
      </c>
      <c r="C81" t="str">
        <f>VLOOKUP(B81,_Pitch!$A$2:$B$129,2,FALSE)</f>
        <v>G4</v>
      </c>
      <c r="D81" s="14" t="s">
        <v>725</v>
      </c>
      <c r="E81" s="14" t="s">
        <v>167</v>
      </c>
      <c r="F81" s="14"/>
    </row>
    <row r="82" spans="1:6">
      <c r="A82" s="7">
        <v>80</v>
      </c>
      <c r="B82" s="7">
        <v>80</v>
      </c>
      <c r="C82" t="str">
        <f>VLOOKUP(B82,_Pitch!$A$2:$B$129,2,FALSE)</f>
        <v>G#4</v>
      </c>
      <c r="D82" s="14"/>
      <c r="E82" s="14"/>
      <c r="F82" s="14"/>
    </row>
    <row r="83" spans="1:6">
      <c r="A83" s="7">
        <v>81</v>
      </c>
      <c r="B83" s="7">
        <v>81</v>
      </c>
      <c r="C83" t="str">
        <f>VLOOKUP(B83,_Pitch!$A$2:$B$129,2,FALSE)</f>
        <v>A4</v>
      </c>
      <c r="D83" s="14" t="s">
        <v>726</v>
      </c>
      <c r="E83" s="14" t="s">
        <v>168</v>
      </c>
      <c r="F83" s="14"/>
    </row>
    <row r="84" spans="1:6">
      <c r="A84" s="7">
        <v>82</v>
      </c>
      <c r="B84" s="7">
        <v>82</v>
      </c>
      <c r="C84" t="str">
        <f>VLOOKUP(B84,_Pitch!$A$2:$B$129,2,FALSE)</f>
        <v>A#4</v>
      </c>
      <c r="D84" s="14"/>
      <c r="E84" s="14"/>
      <c r="F84" s="14"/>
    </row>
    <row r="85" spans="1:6">
      <c r="A85" s="7">
        <v>83</v>
      </c>
      <c r="B85" s="7">
        <v>83</v>
      </c>
      <c r="C85" t="str">
        <f>VLOOKUP(B85,_Pitch!$A$2:$B$129,2,FALSE)</f>
        <v>B4</v>
      </c>
      <c r="D85" s="14" t="s">
        <v>727</v>
      </c>
      <c r="E85" s="14" t="s">
        <v>169</v>
      </c>
      <c r="F85" s="14"/>
    </row>
    <row r="86" spans="1:6">
      <c r="A86" s="7">
        <v>84</v>
      </c>
      <c r="B86" s="7">
        <v>84</v>
      </c>
      <c r="C86" t="str">
        <f>VLOOKUP(B86,_Pitch!$A$2:$B$129,2,FALSE)</f>
        <v>C5</v>
      </c>
      <c r="D86" s="14"/>
      <c r="E86" s="14"/>
      <c r="F86" s="14"/>
    </row>
    <row r="87" spans="1:6">
      <c r="A87" s="7">
        <v>85</v>
      </c>
      <c r="B87" s="7">
        <v>85</v>
      </c>
      <c r="C87" t="str">
        <f>VLOOKUP(B87,_Pitch!$A$2:$B$129,2,FALSE)</f>
        <v>C#5</v>
      </c>
      <c r="D87" s="14"/>
      <c r="E87" s="14"/>
      <c r="F87" s="14"/>
    </row>
    <row r="88" spans="1:6">
      <c r="A88" s="7">
        <v>86</v>
      </c>
      <c r="B88" s="7">
        <v>86</v>
      </c>
      <c r="C88" t="str">
        <f>VLOOKUP(B88,_Pitch!$A$2:$B$129,2,FALSE)</f>
        <v>D5</v>
      </c>
      <c r="D88" s="14"/>
      <c r="E88" s="14"/>
      <c r="F88" s="14"/>
    </row>
    <row r="89" spans="1:6">
      <c r="A89" s="7">
        <v>87</v>
      </c>
      <c r="B89" s="7">
        <v>87</v>
      </c>
      <c r="C89" t="str">
        <f>VLOOKUP(B89,_Pitch!$A$2:$B$129,2,FALSE)</f>
        <v>D#5</v>
      </c>
      <c r="D89" s="14"/>
      <c r="E89" s="14"/>
      <c r="F89" s="14"/>
    </row>
    <row r="90" spans="1:6">
      <c r="A90" s="7">
        <v>88</v>
      </c>
      <c r="B90" s="7">
        <v>88</v>
      </c>
      <c r="C90" t="str">
        <f>VLOOKUP(B90,_Pitch!$A$2:$B$129,2,FALSE)</f>
        <v>E5</v>
      </c>
      <c r="D90" s="14"/>
      <c r="E90" s="14"/>
      <c r="F90" s="14"/>
    </row>
    <row r="91" spans="1:6">
      <c r="A91" s="7">
        <v>89</v>
      </c>
      <c r="B91" s="7">
        <v>89</v>
      </c>
      <c r="C91" t="str">
        <f>VLOOKUP(B91,_Pitch!$A$2:$B$129,2,FALSE)</f>
        <v>F5</v>
      </c>
      <c r="D91" s="14"/>
      <c r="E91" s="14"/>
      <c r="F91" s="14"/>
    </row>
    <row r="92" spans="1:6">
      <c r="A92" s="7">
        <v>90</v>
      </c>
      <c r="B92" s="7">
        <v>90</v>
      </c>
      <c r="C92" t="str">
        <f>VLOOKUP(B92,_Pitch!$A$2:$B$129,2,FALSE)</f>
        <v>F#5</v>
      </c>
      <c r="D92" s="14"/>
      <c r="E92" s="14"/>
      <c r="F92" s="14"/>
    </row>
    <row r="93" spans="1:6">
      <c r="A93" s="7">
        <v>91</v>
      </c>
      <c r="B93" s="7">
        <v>91</v>
      </c>
      <c r="C93" t="str">
        <f>VLOOKUP(B93,_Pitch!$A$2:$B$129,2,FALSE)</f>
        <v>G5</v>
      </c>
      <c r="D93" s="14"/>
      <c r="E93" s="14"/>
      <c r="F93" s="14"/>
    </row>
    <row r="94" spans="1:6">
      <c r="A94" s="7">
        <v>92</v>
      </c>
      <c r="B94" s="7">
        <v>92</v>
      </c>
      <c r="C94" t="str">
        <f>VLOOKUP(B94,_Pitch!$A$2:$B$129,2,FALSE)</f>
        <v>G#5</v>
      </c>
      <c r="D94" s="14"/>
      <c r="E94" s="14"/>
      <c r="F94" s="14"/>
    </row>
    <row r="95" spans="1:6">
      <c r="A95" s="7">
        <v>93</v>
      </c>
      <c r="B95" s="7">
        <v>93</v>
      </c>
      <c r="C95" t="str">
        <f>VLOOKUP(B95,_Pitch!$A$2:$B$129,2,FALSE)</f>
        <v>A5</v>
      </c>
      <c r="D95" s="14"/>
      <c r="E95" s="14"/>
      <c r="F95" s="14"/>
    </row>
    <row r="96" spans="1:6">
      <c r="A96" s="7">
        <v>94</v>
      </c>
      <c r="B96" s="7">
        <v>94</v>
      </c>
      <c r="C96" t="str">
        <f>VLOOKUP(B96,_Pitch!$A$2:$B$129,2,FALSE)</f>
        <v>A#5</v>
      </c>
      <c r="D96" s="14"/>
      <c r="E96" s="14"/>
      <c r="F96" s="14"/>
    </row>
    <row r="97" spans="1:6">
      <c r="A97" s="7">
        <v>95</v>
      </c>
      <c r="B97" s="7">
        <v>95</v>
      </c>
      <c r="C97" t="str">
        <f>VLOOKUP(B97,_Pitch!$A$2:$B$129,2,FALSE)</f>
        <v>B5</v>
      </c>
      <c r="D97" s="14"/>
      <c r="E97" s="14"/>
      <c r="F97" s="14"/>
    </row>
    <row r="98" spans="1:6">
      <c r="A98" s="7">
        <v>96</v>
      </c>
      <c r="B98" s="7">
        <v>96</v>
      </c>
      <c r="C98" t="str">
        <f>VLOOKUP(B98,_Pitch!$A$2:$B$129,2,FALSE)</f>
        <v>C6</v>
      </c>
      <c r="D98" s="14"/>
      <c r="E98" s="14"/>
      <c r="F98" s="14"/>
    </row>
    <row r="99" spans="1:6">
      <c r="A99" s="7">
        <v>97</v>
      </c>
      <c r="B99" s="7">
        <v>97</v>
      </c>
      <c r="C99" t="str">
        <f>VLOOKUP(B99,_Pitch!$A$2:$B$129,2,FALSE)</f>
        <v>C#6</v>
      </c>
      <c r="D99" s="14"/>
      <c r="E99" s="14"/>
      <c r="F99" s="14"/>
    </row>
    <row r="100" spans="1:6">
      <c r="A100" s="7">
        <v>98</v>
      </c>
      <c r="B100" s="7">
        <v>98</v>
      </c>
      <c r="C100" t="str">
        <f>VLOOKUP(B100,_Pitch!$A$2:$B$129,2,FALSE)</f>
        <v>D6</v>
      </c>
      <c r="D100" s="14"/>
      <c r="E100" s="14"/>
      <c r="F100" s="14"/>
    </row>
    <row r="101" spans="1:6">
      <c r="A101" s="7">
        <v>99</v>
      </c>
      <c r="B101" s="7">
        <v>99</v>
      </c>
      <c r="C101" t="str">
        <f>VLOOKUP(B101,_Pitch!$A$2:$B$129,2,FALSE)</f>
        <v>D#6</v>
      </c>
      <c r="D101" s="14"/>
      <c r="E101" s="14"/>
      <c r="F101" s="14"/>
    </row>
    <row r="102" spans="1:6">
      <c r="A102" s="7">
        <v>100</v>
      </c>
      <c r="B102" s="7">
        <v>100</v>
      </c>
      <c r="C102" t="str">
        <f>VLOOKUP(B102,_Pitch!$A$2:$B$129,2,FALSE)</f>
        <v>E6</v>
      </c>
      <c r="D102" s="14"/>
      <c r="E102" s="14"/>
      <c r="F102" s="14"/>
    </row>
    <row r="103" spans="1:6">
      <c r="A103" s="7">
        <v>101</v>
      </c>
      <c r="B103" s="7">
        <v>101</v>
      </c>
      <c r="C103" t="str">
        <f>VLOOKUP(B103,_Pitch!$A$2:$B$129,2,FALSE)</f>
        <v>F6</v>
      </c>
      <c r="D103" s="14"/>
      <c r="E103" s="14"/>
      <c r="F103" s="14"/>
    </row>
    <row r="104" spans="1:6">
      <c r="A104" s="7">
        <v>102</v>
      </c>
      <c r="B104" s="7">
        <v>102</v>
      </c>
      <c r="C104" t="str">
        <f>VLOOKUP(B104,_Pitch!$A$2:$B$129,2,FALSE)</f>
        <v>F#6</v>
      </c>
      <c r="D104" s="14"/>
      <c r="E104" s="14"/>
      <c r="F104" s="14"/>
    </row>
    <row r="105" spans="1:6">
      <c r="A105" s="7">
        <v>103</v>
      </c>
      <c r="B105" s="7">
        <v>103</v>
      </c>
      <c r="C105" t="str">
        <f>VLOOKUP(B105,_Pitch!$A$2:$B$129,2,FALSE)</f>
        <v>G6</v>
      </c>
      <c r="D105" s="14"/>
      <c r="E105" s="14"/>
      <c r="F105" s="14"/>
    </row>
    <row r="106" spans="1:6">
      <c r="A106" s="7">
        <v>104</v>
      </c>
      <c r="B106" s="7">
        <v>104</v>
      </c>
      <c r="C106" t="str">
        <f>VLOOKUP(B106,_Pitch!$A$2:$B$129,2,FALSE)</f>
        <v>G#6</v>
      </c>
      <c r="D106" s="14"/>
      <c r="E106" s="14"/>
      <c r="F106" s="14"/>
    </row>
    <row r="107" spans="1:6">
      <c r="A107" s="7">
        <v>105</v>
      </c>
      <c r="B107" s="7">
        <v>105</v>
      </c>
      <c r="C107" t="str">
        <f>VLOOKUP(B107,_Pitch!$A$2:$B$129,2,FALSE)</f>
        <v>A6</v>
      </c>
      <c r="D107" s="14"/>
      <c r="E107" s="14"/>
      <c r="F107" s="14"/>
    </row>
    <row r="108" spans="1:6">
      <c r="A108" s="7">
        <v>106</v>
      </c>
      <c r="B108" s="7">
        <v>106</v>
      </c>
      <c r="C108" t="str">
        <f>VLOOKUP(B108,_Pitch!$A$2:$B$129,2,FALSE)</f>
        <v>A#6</v>
      </c>
      <c r="D108" s="14"/>
      <c r="E108" s="14"/>
      <c r="F108" s="14"/>
    </row>
    <row r="109" spans="1:6">
      <c r="A109" s="7">
        <v>107</v>
      </c>
      <c r="B109" s="7">
        <v>107</v>
      </c>
      <c r="C109" t="str">
        <f>VLOOKUP(B109,_Pitch!$A$2:$B$129,2,FALSE)</f>
        <v>B6</v>
      </c>
      <c r="D109" s="14"/>
      <c r="E109" s="14"/>
      <c r="F109" s="14"/>
    </row>
    <row r="110" spans="1:6">
      <c r="A110" s="7">
        <v>108</v>
      </c>
      <c r="B110" s="7">
        <v>108</v>
      </c>
      <c r="C110" t="str">
        <f>VLOOKUP(B110,_Pitch!$A$2:$B$129,2,FALSE)</f>
        <v>C7</v>
      </c>
      <c r="D110" s="14"/>
      <c r="E110" s="14"/>
      <c r="F110" s="14"/>
    </row>
    <row r="111" spans="1:6">
      <c r="A111" s="7">
        <v>109</v>
      </c>
      <c r="B111" s="7">
        <v>109</v>
      </c>
      <c r="C111" t="str">
        <f>VLOOKUP(B111,_Pitch!$A$2:$B$129,2,FALSE)</f>
        <v>C#7</v>
      </c>
      <c r="D111" s="14"/>
      <c r="E111" s="14"/>
      <c r="F111" s="14"/>
    </row>
    <row r="112" spans="1:6">
      <c r="A112" s="7">
        <v>110</v>
      </c>
      <c r="B112" s="7">
        <v>110</v>
      </c>
      <c r="C112" t="str">
        <f>VLOOKUP(B112,_Pitch!$A$2:$B$129,2,FALSE)</f>
        <v>D7</v>
      </c>
      <c r="D112" s="14"/>
      <c r="E112" s="14"/>
      <c r="F112" s="14"/>
    </row>
    <row r="113" spans="1:6">
      <c r="A113" s="7">
        <v>111</v>
      </c>
      <c r="B113" s="7">
        <v>111</v>
      </c>
      <c r="C113" t="str">
        <f>VLOOKUP(B113,_Pitch!$A$2:$B$129,2,FALSE)</f>
        <v>D#7</v>
      </c>
      <c r="D113" s="14"/>
      <c r="E113" s="14"/>
      <c r="F113" s="14"/>
    </row>
    <row r="114" spans="1:6">
      <c r="A114" s="7">
        <v>112</v>
      </c>
      <c r="B114" s="7">
        <v>112</v>
      </c>
      <c r="C114" t="str">
        <f>VLOOKUP(B114,_Pitch!$A$2:$B$129,2,FALSE)</f>
        <v>E7</v>
      </c>
      <c r="D114" s="14"/>
      <c r="E114" s="14"/>
      <c r="F114" s="14"/>
    </row>
    <row r="115" spans="1:6">
      <c r="A115" s="7">
        <v>113</v>
      </c>
      <c r="B115" s="7">
        <v>113</v>
      </c>
      <c r="C115" t="str">
        <f>VLOOKUP(B115,_Pitch!$A$2:$B$129,2,FALSE)</f>
        <v>F7</v>
      </c>
      <c r="D115" s="14"/>
      <c r="E115" s="14"/>
      <c r="F115" s="14"/>
    </row>
    <row r="116" spans="1:6">
      <c r="A116" s="7">
        <v>114</v>
      </c>
      <c r="B116" s="7">
        <v>114</v>
      </c>
      <c r="C116" t="str">
        <f>VLOOKUP(B116,_Pitch!$A$2:$B$129,2,FALSE)</f>
        <v>F#7</v>
      </c>
      <c r="D116" s="14"/>
      <c r="E116" s="14"/>
      <c r="F116" s="14"/>
    </row>
    <row r="117" spans="1:6">
      <c r="A117" s="7">
        <v>115</v>
      </c>
      <c r="B117" s="7">
        <v>115</v>
      </c>
      <c r="C117" t="str">
        <f>VLOOKUP(B117,_Pitch!$A$2:$B$129,2,FALSE)</f>
        <v>G7</v>
      </c>
      <c r="D117" s="14"/>
      <c r="E117" s="14"/>
      <c r="F117" s="14"/>
    </row>
    <row r="118" spans="1:6">
      <c r="A118" s="7">
        <v>116</v>
      </c>
      <c r="B118" s="7">
        <v>116</v>
      </c>
      <c r="C118" t="str">
        <f>VLOOKUP(B118,_Pitch!$A$2:$B$129,2,FALSE)</f>
        <v>G#7</v>
      </c>
      <c r="D118" s="14"/>
      <c r="E118" s="14"/>
      <c r="F118" s="14"/>
    </row>
    <row r="119" spans="1:6">
      <c r="A119" s="7">
        <v>117</v>
      </c>
      <c r="B119" s="7">
        <v>117</v>
      </c>
      <c r="C119" t="str">
        <f>VLOOKUP(B119,_Pitch!$A$2:$B$129,2,FALSE)</f>
        <v>A7</v>
      </c>
      <c r="D119" s="14"/>
      <c r="E119" s="14"/>
      <c r="F119" s="14"/>
    </row>
    <row r="120" spans="1:6">
      <c r="A120" s="7">
        <v>118</v>
      </c>
      <c r="B120" s="7">
        <v>118</v>
      </c>
      <c r="C120" t="str">
        <f>VLOOKUP(B120,_Pitch!$A$2:$B$129,2,FALSE)</f>
        <v>A#7</v>
      </c>
      <c r="D120" s="14"/>
      <c r="E120" s="14"/>
      <c r="F120" s="14"/>
    </row>
    <row r="121" spans="1:6">
      <c r="A121" s="7">
        <v>119</v>
      </c>
      <c r="B121" s="7">
        <v>119</v>
      </c>
      <c r="C121" t="str">
        <f>VLOOKUP(B121,_Pitch!$A$2:$B$129,2,FALSE)</f>
        <v>B7</v>
      </c>
      <c r="D121" s="14"/>
      <c r="E121" s="14"/>
      <c r="F121" s="14"/>
    </row>
    <row r="122" spans="1:6">
      <c r="A122" s="7">
        <v>120</v>
      </c>
      <c r="B122" s="7">
        <v>120</v>
      </c>
      <c r="C122" t="str">
        <f>VLOOKUP(B122,_Pitch!$A$2:$B$129,2,FALSE)</f>
        <v>C8</v>
      </c>
      <c r="D122" s="14"/>
      <c r="E122" s="14"/>
      <c r="F122" s="14"/>
    </row>
    <row r="123" spans="1:6">
      <c r="A123" s="7">
        <v>121</v>
      </c>
      <c r="B123" s="7">
        <v>121</v>
      </c>
      <c r="C123" t="str">
        <f>VLOOKUP(B123,_Pitch!$A$2:$B$129,2,FALSE)</f>
        <v>C#8</v>
      </c>
      <c r="D123" s="14"/>
      <c r="E123" s="14"/>
      <c r="F123" s="14"/>
    </row>
    <row r="124" spans="1:6">
      <c r="A124" s="7">
        <v>122</v>
      </c>
      <c r="B124" s="7">
        <v>122</v>
      </c>
      <c r="C124" t="str">
        <f>VLOOKUP(B124,_Pitch!$A$2:$B$129,2,FALSE)</f>
        <v>D8</v>
      </c>
      <c r="D124" s="14"/>
      <c r="E124" s="14"/>
      <c r="F124" s="14"/>
    </row>
    <row r="125" spans="1:6">
      <c r="A125" s="7">
        <v>123</v>
      </c>
      <c r="B125" s="7">
        <v>123</v>
      </c>
      <c r="C125" t="str">
        <f>VLOOKUP(B125,_Pitch!$A$2:$B$129,2,FALSE)</f>
        <v>D#8</v>
      </c>
      <c r="D125" s="14"/>
      <c r="E125" s="14"/>
      <c r="F125" s="14"/>
    </row>
    <row r="126" spans="1:6">
      <c r="A126" s="7">
        <v>124</v>
      </c>
      <c r="B126" s="7">
        <v>124</v>
      </c>
      <c r="C126" t="str">
        <f>VLOOKUP(B126,_Pitch!$A$2:$B$129,2,FALSE)</f>
        <v>E8</v>
      </c>
      <c r="D126" s="14"/>
      <c r="E126" s="14"/>
      <c r="F126" s="14"/>
    </row>
    <row r="127" spans="1:6">
      <c r="A127" s="7">
        <v>125</v>
      </c>
      <c r="B127" s="7">
        <v>125</v>
      </c>
      <c r="C127" t="str">
        <f>VLOOKUP(B127,_Pitch!$A$2:$B$129,2,FALSE)</f>
        <v>F8</v>
      </c>
      <c r="D127" s="14"/>
      <c r="E127" s="14"/>
      <c r="F127" s="14"/>
    </row>
    <row r="128" spans="1:6">
      <c r="A128" s="7">
        <v>126</v>
      </c>
      <c r="B128" s="7">
        <v>126</v>
      </c>
      <c r="C128" t="str">
        <f>VLOOKUP(B128,_Pitch!$A$2:$B$129,2,FALSE)</f>
        <v>F#8</v>
      </c>
      <c r="D128" s="14"/>
      <c r="E128" s="14"/>
      <c r="F128" s="14"/>
    </row>
    <row r="129" spans="1:6">
      <c r="A129" s="7">
        <v>127</v>
      </c>
      <c r="B129" s="7">
        <v>127</v>
      </c>
      <c r="C129" t="str">
        <f>VLOOKUP(B129,_Pitch!$A$2:$B$129,2,FALSE)</f>
        <v>G8</v>
      </c>
      <c r="D129" s="14"/>
      <c r="E129" s="14"/>
      <c r="F129" s="14"/>
    </row>
  </sheetData>
  <autoFilter ref="A1:G129" xr:uid="{65BDE562-9143-48F6-ABBF-8CCCC484D92E}"/>
  <phoneticPr fontId="1"/>
  <dataValidations count="1">
    <dataValidation type="list" allowBlank="1" showInputMessage="1" showErrorMessage="1" sqref="F2:F129" xr:uid="{C6EBDC62-48EE-4F2E-8A4F-805A166E5883}">
      <formula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4E5F946A-86F1-448D-8290-642F7C2AF02B}">
          <x14:formula1>
            <xm:f>_Articulation!$B$2:B$158</xm:f>
          </x14:formula1>
          <xm:sqref>E2:E129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9FCFAE-141C-4446-96B6-4523E8A7A981}">
  <sheetPr codeName="Sheet26"/>
  <dimension ref="A1:G129"/>
  <sheetViews>
    <sheetView workbookViewId="0">
      <pane ySplit="1" topLeftCell="A2" activePane="bottomLeft" state="frozen"/>
      <selection activeCell="D14" sqref="D14"/>
      <selection pane="bottomLeft" activeCell="D14" sqref="D14"/>
    </sheetView>
  </sheetViews>
  <sheetFormatPr defaultRowHeight="13.5"/>
  <cols>
    <col min="1" max="1" width="4.5" style="7" bestFit="1" customWidth="1"/>
    <col min="2" max="2" width="4.5" bestFit="1" customWidth="1"/>
    <col min="3" max="3" width="5.5" bestFit="1" customWidth="1"/>
    <col min="4" max="4" width="45.625" customWidth="1"/>
    <col min="5" max="5" width="28.25" customWidth="1"/>
    <col min="6" max="6" width="10.25" customWidth="1"/>
  </cols>
  <sheetData>
    <row r="1" spans="1:7" s="6" customFormat="1" ht="141.75" customHeight="1">
      <c r="A1" s="15" t="s">
        <v>130</v>
      </c>
      <c r="B1" s="15" t="s">
        <v>1105</v>
      </c>
      <c r="C1" s="15" t="s">
        <v>1106</v>
      </c>
      <c r="D1" s="16" t="s">
        <v>131</v>
      </c>
      <c r="E1" s="23" t="s">
        <v>132</v>
      </c>
      <c r="F1" s="17" t="s">
        <v>664</v>
      </c>
      <c r="G1" s="15" t="s">
        <v>696</v>
      </c>
    </row>
    <row r="2" spans="1:7">
      <c r="A2" s="7">
        <v>0</v>
      </c>
      <c r="B2" s="7">
        <v>0</v>
      </c>
      <c r="C2" t="str">
        <f>VLOOKUP(B2,_Pitch!$A$2:$B$129,2,FALSE)</f>
        <v>C-2</v>
      </c>
      <c r="D2" s="14"/>
      <c r="E2" s="14"/>
      <c r="F2" s="14"/>
    </row>
    <row r="3" spans="1:7">
      <c r="A3" s="7">
        <v>1</v>
      </c>
      <c r="B3" s="7">
        <v>1</v>
      </c>
      <c r="C3" t="str">
        <f>VLOOKUP(B3,_Pitch!$A$2:$B$129,2,FALSE)</f>
        <v>C#-2</v>
      </c>
      <c r="D3" s="14"/>
      <c r="E3" s="14"/>
      <c r="F3" s="14"/>
    </row>
    <row r="4" spans="1:7">
      <c r="A4" s="7">
        <v>2</v>
      </c>
      <c r="B4" s="7">
        <v>2</v>
      </c>
      <c r="C4" t="str">
        <f>VLOOKUP(B4,_Pitch!$A$2:$B$129,2,FALSE)</f>
        <v>D-2</v>
      </c>
      <c r="D4" s="14"/>
      <c r="E4" s="14"/>
      <c r="F4" s="14"/>
    </row>
    <row r="5" spans="1:7">
      <c r="A5" s="7">
        <v>3</v>
      </c>
      <c r="B5" s="7">
        <v>3</v>
      </c>
      <c r="C5" t="str">
        <f>VLOOKUP(B5,_Pitch!$A$2:$B$129,2,FALSE)</f>
        <v>D#-2</v>
      </c>
      <c r="D5" s="14"/>
      <c r="E5" s="14"/>
      <c r="F5" s="14"/>
    </row>
    <row r="6" spans="1:7">
      <c r="A6" s="7">
        <v>4</v>
      </c>
      <c r="B6" s="7">
        <v>4</v>
      </c>
      <c r="C6" t="str">
        <f>VLOOKUP(B6,_Pitch!$A$2:$B$129,2,FALSE)</f>
        <v>E-2</v>
      </c>
      <c r="D6" s="14"/>
      <c r="E6" s="14"/>
      <c r="F6" s="14"/>
    </row>
    <row r="7" spans="1:7">
      <c r="A7" s="7">
        <v>5</v>
      </c>
      <c r="B7" s="7">
        <v>5</v>
      </c>
      <c r="C7" t="str">
        <f>VLOOKUP(B7,_Pitch!$A$2:$B$129,2,FALSE)</f>
        <v>F-2</v>
      </c>
      <c r="D7" s="14"/>
      <c r="E7" s="14"/>
      <c r="F7" s="14"/>
    </row>
    <row r="8" spans="1:7">
      <c r="A8" s="7">
        <v>6</v>
      </c>
      <c r="B8" s="7">
        <v>6</v>
      </c>
      <c r="C8" t="str">
        <f>VLOOKUP(B8,_Pitch!$A$2:$B$129,2,FALSE)</f>
        <v>F#-2</v>
      </c>
      <c r="D8" s="14"/>
      <c r="E8" s="14"/>
      <c r="F8" s="14"/>
    </row>
    <row r="9" spans="1:7">
      <c r="A9" s="7">
        <v>7</v>
      </c>
      <c r="B9" s="7">
        <v>7</v>
      </c>
      <c r="C9" t="str">
        <f>VLOOKUP(B9,_Pitch!$A$2:$B$129,2,FALSE)</f>
        <v>G-2</v>
      </c>
      <c r="D9" s="14"/>
      <c r="E9" s="14"/>
      <c r="F9" s="14"/>
    </row>
    <row r="10" spans="1:7">
      <c r="A10" s="7">
        <v>8</v>
      </c>
      <c r="B10" s="7">
        <v>8</v>
      </c>
      <c r="C10" t="str">
        <f>VLOOKUP(B10,_Pitch!$A$2:$B$129,2,FALSE)</f>
        <v>G#-2</v>
      </c>
      <c r="D10" s="14"/>
      <c r="E10" s="14"/>
      <c r="F10" s="14"/>
    </row>
    <row r="11" spans="1:7">
      <c r="A11" s="7">
        <v>9</v>
      </c>
      <c r="B11" s="7">
        <v>9</v>
      </c>
      <c r="C11" t="str">
        <f>VLOOKUP(B11,_Pitch!$A$2:$B$129,2,FALSE)</f>
        <v>A-2</v>
      </c>
      <c r="D11" s="14"/>
      <c r="E11" s="14"/>
      <c r="F11" s="14"/>
    </row>
    <row r="12" spans="1:7">
      <c r="A12" s="7">
        <v>10</v>
      </c>
      <c r="B12" s="7">
        <v>10</v>
      </c>
      <c r="C12" t="str">
        <f>VLOOKUP(B12,_Pitch!$A$2:$B$129,2,FALSE)</f>
        <v>A#-2</v>
      </c>
      <c r="D12" s="14"/>
      <c r="E12" s="14"/>
      <c r="F12" s="14"/>
    </row>
    <row r="13" spans="1:7">
      <c r="A13" s="7">
        <v>11</v>
      </c>
      <c r="B13" s="7">
        <v>11</v>
      </c>
      <c r="C13" t="str">
        <f>VLOOKUP(B13,_Pitch!$A$2:$B$129,2,FALSE)</f>
        <v>B-2</v>
      </c>
      <c r="D13" s="14"/>
      <c r="E13" s="14"/>
      <c r="F13" s="14"/>
    </row>
    <row r="14" spans="1:7">
      <c r="A14" s="7">
        <v>12</v>
      </c>
      <c r="B14" s="7">
        <v>12</v>
      </c>
      <c r="C14" t="str">
        <f>VLOOKUP(B14,_Pitch!$A$2:$B$129,2,FALSE)</f>
        <v>C-1</v>
      </c>
      <c r="D14" s="14"/>
      <c r="E14" s="14"/>
      <c r="F14" s="14"/>
    </row>
    <row r="15" spans="1:7">
      <c r="A15" s="7">
        <v>13</v>
      </c>
      <c r="B15" s="7">
        <v>13</v>
      </c>
      <c r="C15" t="str">
        <f>VLOOKUP(B15,_Pitch!$A$2:$B$129,2,FALSE)</f>
        <v>C#-1</v>
      </c>
      <c r="D15" s="14"/>
      <c r="E15" s="14"/>
      <c r="F15" s="14"/>
    </row>
    <row r="16" spans="1:7">
      <c r="A16" s="7">
        <v>14</v>
      </c>
      <c r="B16" s="7">
        <v>14</v>
      </c>
      <c r="C16" t="str">
        <f>VLOOKUP(B16,_Pitch!$A$2:$B$129,2,FALSE)</f>
        <v>D-1</v>
      </c>
      <c r="D16" s="14"/>
      <c r="E16" s="14"/>
      <c r="F16" s="14"/>
    </row>
    <row r="17" spans="1:6">
      <c r="A17" s="7">
        <v>15</v>
      </c>
      <c r="B17" s="7">
        <v>15</v>
      </c>
      <c r="C17" t="str">
        <f>VLOOKUP(B17,_Pitch!$A$2:$B$129,2,FALSE)</f>
        <v>D#-1</v>
      </c>
      <c r="D17" s="14"/>
      <c r="E17" s="14"/>
      <c r="F17" s="14"/>
    </row>
    <row r="18" spans="1:6">
      <c r="A18" s="7">
        <v>16</v>
      </c>
      <c r="B18" s="7">
        <v>16</v>
      </c>
      <c r="C18" t="str">
        <f>VLOOKUP(B18,_Pitch!$A$2:$B$129,2,FALSE)</f>
        <v>E-1</v>
      </c>
      <c r="D18" s="14"/>
      <c r="E18" s="14"/>
      <c r="F18" s="14"/>
    </row>
    <row r="19" spans="1:6">
      <c r="A19" s="7">
        <v>17</v>
      </c>
      <c r="B19" s="7">
        <v>17</v>
      </c>
      <c r="C19" t="str">
        <f>VLOOKUP(B19,_Pitch!$A$2:$B$129,2,FALSE)</f>
        <v>F-1</v>
      </c>
      <c r="D19" s="14"/>
      <c r="E19" s="14"/>
      <c r="F19" s="14"/>
    </row>
    <row r="20" spans="1:6">
      <c r="A20" s="7">
        <v>18</v>
      </c>
      <c r="B20" s="7">
        <v>18</v>
      </c>
      <c r="C20" t="str">
        <f>VLOOKUP(B20,_Pitch!$A$2:$B$129,2,FALSE)</f>
        <v>F#-1</v>
      </c>
      <c r="D20" s="14"/>
      <c r="E20" s="14"/>
      <c r="F20" s="14"/>
    </row>
    <row r="21" spans="1:6">
      <c r="A21" s="7">
        <v>19</v>
      </c>
      <c r="B21" s="7">
        <v>19</v>
      </c>
      <c r="C21" t="str">
        <f>VLOOKUP(B21,_Pitch!$A$2:$B$129,2,FALSE)</f>
        <v>G-1</v>
      </c>
      <c r="D21" s="14"/>
      <c r="E21" s="14"/>
      <c r="F21" s="14"/>
    </row>
    <row r="22" spans="1:6">
      <c r="A22" s="7">
        <v>20</v>
      </c>
      <c r="B22" s="7">
        <v>20</v>
      </c>
      <c r="C22" t="str">
        <f>VLOOKUP(B22,_Pitch!$A$2:$B$129,2,FALSE)</f>
        <v>G#-1</v>
      </c>
      <c r="D22" s="14"/>
      <c r="E22" s="14"/>
      <c r="F22" s="14"/>
    </row>
    <row r="23" spans="1:6">
      <c r="A23" s="7">
        <v>21</v>
      </c>
      <c r="B23" s="7">
        <v>21</v>
      </c>
      <c r="C23" t="str">
        <f>VLOOKUP(B23,_Pitch!$A$2:$B$129,2,FALSE)</f>
        <v>A-1</v>
      </c>
      <c r="D23" s="14" t="s">
        <v>697</v>
      </c>
      <c r="E23" s="14"/>
      <c r="F23" s="14"/>
    </row>
    <row r="24" spans="1:6">
      <c r="A24" s="7">
        <v>22</v>
      </c>
      <c r="B24" s="7">
        <v>22</v>
      </c>
      <c r="C24" t="str">
        <f>VLOOKUP(B24,_Pitch!$A$2:$B$129,2,FALSE)</f>
        <v>A#-1</v>
      </c>
      <c r="D24" s="14"/>
      <c r="E24" s="14"/>
      <c r="F24" s="14"/>
    </row>
    <row r="25" spans="1:6">
      <c r="A25" s="7">
        <v>23</v>
      </c>
      <c r="B25" s="7">
        <v>23</v>
      </c>
      <c r="C25" t="str">
        <f>VLOOKUP(B25,_Pitch!$A$2:$B$129,2,FALSE)</f>
        <v>B-1</v>
      </c>
      <c r="D25" s="14"/>
      <c r="E25" s="14"/>
      <c r="F25" s="14"/>
    </row>
    <row r="26" spans="1:6">
      <c r="A26" s="7">
        <v>24</v>
      </c>
      <c r="B26" s="7">
        <v>24</v>
      </c>
      <c r="C26" t="str">
        <f>VLOOKUP(B26,_Pitch!$A$2:$B$129,2,FALSE)</f>
        <v>C0</v>
      </c>
      <c r="D26" s="14"/>
      <c r="E26" s="14"/>
      <c r="F26" s="14"/>
    </row>
    <row r="27" spans="1:6">
      <c r="A27" s="7">
        <v>25</v>
      </c>
      <c r="B27" s="7">
        <v>25</v>
      </c>
      <c r="C27" t="str">
        <f>VLOOKUP(B27,_Pitch!$A$2:$B$129,2,FALSE)</f>
        <v>C#0</v>
      </c>
      <c r="D27" s="14"/>
      <c r="E27" s="14"/>
      <c r="F27" s="14"/>
    </row>
    <row r="28" spans="1:6">
      <c r="A28" s="7">
        <v>26</v>
      </c>
      <c r="B28" s="7">
        <v>26</v>
      </c>
      <c r="C28" t="str">
        <f>VLOOKUP(B28,_Pitch!$A$2:$B$129,2,FALSE)</f>
        <v>D0</v>
      </c>
      <c r="D28" s="14"/>
      <c r="E28" s="14"/>
      <c r="F28" s="14"/>
    </row>
    <row r="29" spans="1:6">
      <c r="A29" s="7">
        <v>27</v>
      </c>
      <c r="B29" s="7">
        <v>27</v>
      </c>
      <c r="C29" t="str">
        <f>VLOOKUP(B29,_Pitch!$A$2:$B$129,2,FALSE)</f>
        <v>D#0</v>
      </c>
      <c r="D29" s="14"/>
      <c r="E29" s="14"/>
      <c r="F29" s="14"/>
    </row>
    <row r="30" spans="1:6">
      <c r="A30" s="7">
        <v>28</v>
      </c>
      <c r="B30" s="7">
        <v>28</v>
      </c>
      <c r="C30" t="str">
        <f>VLOOKUP(B30,_Pitch!$A$2:$B$129,2,FALSE)</f>
        <v>E0</v>
      </c>
      <c r="D30" s="14"/>
      <c r="E30" s="14"/>
      <c r="F30" s="14"/>
    </row>
    <row r="31" spans="1:6">
      <c r="A31" s="7">
        <v>29</v>
      </c>
      <c r="B31" s="7">
        <v>29</v>
      </c>
      <c r="C31" t="str">
        <f>VLOOKUP(B31,_Pitch!$A$2:$B$129,2,FALSE)</f>
        <v>F0</v>
      </c>
      <c r="D31" s="14"/>
      <c r="E31" s="14"/>
      <c r="F31" s="14"/>
    </row>
    <row r="32" spans="1:6">
      <c r="A32" s="7">
        <v>30</v>
      </c>
      <c r="B32" s="7">
        <v>30</v>
      </c>
      <c r="C32" t="str">
        <f>VLOOKUP(B32,_Pitch!$A$2:$B$129,2,FALSE)</f>
        <v>F#0</v>
      </c>
      <c r="D32" s="14" t="s">
        <v>698</v>
      </c>
      <c r="E32" s="14"/>
      <c r="F32" s="14"/>
    </row>
    <row r="33" spans="1:6">
      <c r="A33" s="7">
        <v>31</v>
      </c>
      <c r="B33" s="7">
        <v>31</v>
      </c>
      <c r="C33" t="str">
        <f>VLOOKUP(B33,_Pitch!$A$2:$B$129,2,FALSE)</f>
        <v>G0</v>
      </c>
      <c r="D33" s="14" t="s">
        <v>330</v>
      </c>
      <c r="E33" s="14"/>
      <c r="F33" s="14"/>
    </row>
    <row r="34" spans="1:6">
      <c r="A34" s="7">
        <v>32</v>
      </c>
      <c r="B34" s="7">
        <v>32</v>
      </c>
      <c r="C34" t="str">
        <f>VLOOKUP(B34,_Pitch!$A$2:$B$129,2,FALSE)</f>
        <v>G#0</v>
      </c>
      <c r="D34" s="14" t="s">
        <v>699</v>
      </c>
      <c r="E34" s="14"/>
      <c r="F34" s="14"/>
    </row>
    <row r="35" spans="1:6">
      <c r="A35" s="7">
        <v>33</v>
      </c>
      <c r="B35" s="7">
        <v>33</v>
      </c>
      <c r="C35" t="str">
        <f>VLOOKUP(B35,_Pitch!$A$2:$B$129,2,FALSE)</f>
        <v>A0</v>
      </c>
      <c r="D35" s="14" t="s">
        <v>697</v>
      </c>
      <c r="E35" s="14"/>
      <c r="F35" s="14"/>
    </row>
    <row r="36" spans="1:6">
      <c r="A36" s="7">
        <v>34</v>
      </c>
      <c r="B36" s="7">
        <v>34</v>
      </c>
      <c r="C36" t="str">
        <f>VLOOKUP(B36,_Pitch!$A$2:$B$129,2,FALSE)</f>
        <v>A#0</v>
      </c>
      <c r="D36" s="14" t="s">
        <v>700</v>
      </c>
      <c r="E36" s="14"/>
      <c r="F36" s="14"/>
    </row>
    <row r="37" spans="1:6">
      <c r="A37" s="7">
        <v>35</v>
      </c>
      <c r="B37" s="7">
        <v>35</v>
      </c>
      <c r="C37" t="str">
        <f>VLOOKUP(B37,_Pitch!$A$2:$B$129,2,FALSE)</f>
        <v>B0</v>
      </c>
      <c r="D37" s="14" t="s">
        <v>231</v>
      </c>
      <c r="E37" s="14"/>
      <c r="F37" s="14"/>
    </row>
    <row r="38" spans="1:6">
      <c r="A38" s="7">
        <v>36</v>
      </c>
      <c r="B38" s="7">
        <v>36</v>
      </c>
      <c r="C38" t="str">
        <f>VLOOKUP(B38,_Pitch!$A$2:$B$129,2,FALSE)</f>
        <v>C1</v>
      </c>
      <c r="D38" s="14" t="s">
        <v>231</v>
      </c>
      <c r="E38" s="14" t="s">
        <v>133</v>
      </c>
      <c r="F38" s="14"/>
    </row>
    <row r="39" spans="1:6">
      <c r="A39" s="7">
        <v>37</v>
      </c>
      <c r="B39" s="7">
        <v>37</v>
      </c>
      <c r="C39" t="str">
        <f>VLOOKUP(B39,_Pitch!$A$2:$B$129,2,FALSE)</f>
        <v>C#1</v>
      </c>
      <c r="D39" s="14" t="s">
        <v>701</v>
      </c>
      <c r="E39" s="14" t="s">
        <v>145</v>
      </c>
      <c r="F39" s="14"/>
    </row>
    <row r="40" spans="1:6">
      <c r="A40" s="7">
        <v>38</v>
      </c>
      <c r="B40" s="7">
        <v>38</v>
      </c>
      <c r="C40" t="str">
        <f>VLOOKUP(B40,_Pitch!$A$2:$B$129,2,FALSE)</f>
        <v>D1</v>
      </c>
      <c r="D40" s="14" t="s">
        <v>561</v>
      </c>
      <c r="E40" s="14" t="s">
        <v>561</v>
      </c>
      <c r="F40" s="14"/>
    </row>
    <row r="41" spans="1:6">
      <c r="A41" s="7">
        <v>39</v>
      </c>
      <c r="B41" s="7">
        <v>39</v>
      </c>
      <c r="C41" t="str">
        <f>VLOOKUP(B41,_Pitch!$A$2:$B$129,2,FALSE)</f>
        <v>D#1</v>
      </c>
      <c r="D41" s="14" t="s">
        <v>702</v>
      </c>
      <c r="E41" s="14"/>
      <c r="F41" s="14"/>
    </row>
    <row r="42" spans="1:6">
      <c r="A42" s="7">
        <v>40</v>
      </c>
      <c r="B42" s="7">
        <v>40</v>
      </c>
      <c r="C42" t="str">
        <f>VLOOKUP(B42,_Pitch!$A$2:$B$129,2,FALSE)</f>
        <v>E1</v>
      </c>
      <c r="D42" s="14" t="s">
        <v>703</v>
      </c>
      <c r="E42" s="14" t="s">
        <v>1077</v>
      </c>
      <c r="F42" s="14"/>
    </row>
    <row r="43" spans="1:6">
      <c r="A43" s="7">
        <v>41</v>
      </c>
      <c r="B43" s="7">
        <v>41</v>
      </c>
      <c r="C43" t="str">
        <f>VLOOKUP(B43,_Pitch!$A$2:$B$129,2,FALSE)</f>
        <v>F1</v>
      </c>
      <c r="D43" s="14" t="s">
        <v>706</v>
      </c>
      <c r="E43" s="14" t="s">
        <v>557</v>
      </c>
      <c r="F43" s="14"/>
    </row>
    <row r="44" spans="1:6">
      <c r="A44" s="7">
        <v>42</v>
      </c>
      <c r="B44" s="7">
        <v>42</v>
      </c>
      <c r="C44" t="str">
        <f>VLOOKUP(B44,_Pitch!$A$2:$B$129,2,FALSE)</f>
        <v>F#1</v>
      </c>
      <c r="D44" s="14" t="s">
        <v>728</v>
      </c>
      <c r="E44" s="14" t="s">
        <v>153</v>
      </c>
      <c r="F44" s="14"/>
    </row>
    <row r="45" spans="1:6">
      <c r="A45" s="7">
        <v>43</v>
      </c>
      <c r="B45" s="7">
        <v>43</v>
      </c>
      <c r="C45" t="str">
        <f>VLOOKUP(B45,_Pitch!$A$2:$B$129,2,FALSE)</f>
        <v>G1</v>
      </c>
      <c r="D45" s="14" t="s">
        <v>707</v>
      </c>
      <c r="E45" s="14" t="s">
        <v>558</v>
      </c>
      <c r="F45" s="14"/>
    </row>
    <row r="46" spans="1:6">
      <c r="A46" s="7">
        <v>44</v>
      </c>
      <c r="B46" s="7">
        <v>44</v>
      </c>
      <c r="C46" t="str">
        <f>VLOOKUP(B46,_Pitch!$A$2:$B$129,2,FALSE)</f>
        <v>G#1</v>
      </c>
      <c r="D46" s="14" t="s">
        <v>699</v>
      </c>
      <c r="E46" s="14" t="s">
        <v>403</v>
      </c>
      <c r="F46" s="14"/>
    </row>
    <row r="47" spans="1:6">
      <c r="A47" s="7">
        <v>45</v>
      </c>
      <c r="B47" s="7">
        <v>45</v>
      </c>
      <c r="C47" t="str">
        <f>VLOOKUP(B47,_Pitch!$A$2:$B$129,2,FALSE)</f>
        <v>A1</v>
      </c>
      <c r="D47" s="14" t="s">
        <v>709</v>
      </c>
      <c r="E47" s="14" t="s">
        <v>559</v>
      </c>
      <c r="F47" s="14"/>
    </row>
    <row r="48" spans="1:6">
      <c r="A48" s="7">
        <v>46</v>
      </c>
      <c r="B48" s="7">
        <v>46</v>
      </c>
      <c r="C48" t="str">
        <f>VLOOKUP(B48,_Pitch!$A$2:$B$129,2,FALSE)</f>
        <v>A#1</v>
      </c>
      <c r="D48" s="14" t="s">
        <v>705</v>
      </c>
      <c r="E48" s="14" t="s">
        <v>164</v>
      </c>
      <c r="F48" s="14"/>
    </row>
    <row r="49" spans="1:6">
      <c r="A49" s="7">
        <v>47</v>
      </c>
      <c r="B49" s="7">
        <v>47</v>
      </c>
      <c r="C49" t="str">
        <f>VLOOKUP(B49,_Pitch!$A$2:$B$129,2,FALSE)</f>
        <v>B1</v>
      </c>
      <c r="D49" s="14" t="s">
        <v>709</v>
      </c>
      <c r="E49" s="14" t="s">
        <v>559</v>
      </c>
      <c r="F49" s="14" t="s">
        <v>290</v>
      </c>
    </row>
    <row r="50" spans="1:6">
      <c r="A50" s="7">
        <v>48</v>
      </c>
      <c r="B50" s="7">
        <v>48</v>
      </c>
      <c r="C50" t="str">
        <f>VLOOKUP(B50,_Pitch!$A$2:$B$129,2,FALSE)</f>
        <v>C2</v>
      </c>
      <c r="D50" s="14" t="s">
        <v>710</v>
      </c>
      <c r="E50" s="14" t="s">
        <v>560</v>
      </c>
      <c r="F50" s="14"/>
    </row>
    <row r="51" spans="1:6">
      <c r="A51" s="7">
        <v>49</v>
      </c>
      <c r="B51" s="7">
        <v>49</v>
      </c>
      <c r="C51" t="str">
        <f>VLOOKUP(B51,_Pitch!$A$2:$B$129,2,FALSE)</f>
        <v>C#2</v>
      </c>
      <c r="D51" s="14" t="s">
        <v>711</v>
      </c>
      <c r="E51" s="14" t="s">
        <v>568</v>
      </c>
      <c r="F51" s="14"/>
    </row>
    <row r="52" spans="1:6">
      <c r="A52" s="7">
        <v>50</v>
      </c>
      <c r="B52" s="7">
        <v>50</v>
      </c>
      <c r="C52" t="str">
        <f>VLOOKUP(B52,_Pitch!$A$2:$B$129,2,FALSE)</f>
        <v>D2</v>
      </c>
      <c r="D52" s="14" t="s">
        <v>710</v>
      </c>
      <c r="E52" s="14" t="s">
        <v>560</v>
      </c>
      <c r="F52" s="14" t="s">
        <v>290</v>
      </c>
    </row>
    <row r="53" spans="1:6">
      <c r="A53" s="7">
        <v>51</v>
      </c>
      <c r="B53" s="7">
        <v>51</v>
      </c>
      <c r="C53" t="str">
        <f>VLOOKUP(B53,_Pitch!$A$2:$B$129,2,FALSE)</f>
        <v>D#2</v>
      </c>
      <c r="D53" s="14" t="s">
        <v>712</v>
      </c>
      <c r="E53" s="14" t="s">
        <v>179</v>
      </c>
      <c r="F53" s="14"/>
    </row>
    <row r="54" spans="1:6">
      <c r="A54" s="7">
        <v>52</v>
      </c>
      <c r="B54" s="7">
        <v>52</v>
      </c>
      <c r="C54" t="str">
        <f>VLOOKUP(B54,_Pitch!$A$2:$B$129,2,FALSE)</f>
        <v>E2</v>
      </c>
      <c r="D54" s="14" t="s">
        <v>905</v>
      </c>
      <c r="E54" s="14" t="s">
        <v>905</v>
      </c>
      <c r="F54" s="14"/>
    </row>
    <row r="55" spans="1:6">
      <c r="A55" s="7">
        <v>53</v>
      </c>
      <c r="B55" s="7">
        <v>53</v>
      </c>
      <c r="C55" t="str">
        <f>VLOOKUP(B55,_Pitch!$A$2:$B$129,2,FALSE)</f>
        <v>F2</v>
      </c>
      <c r="D55" s="14" t="s">
        <v>713</v>
      </c>
      <c r="E55" s="14" t="s">
        <v>181</v>
      </c>
      <c r="F55" s="14"/>
    </row>
    <row r="56" spans="1:6">
      <c r="A56" s="7">
        <v>54</v>
      </c>
      <c r="B56" s="7">
        <v>54</v>
      </c>
      <c r="C56" t="str">
        <f>VLOOKUP(B56,_Pitch!$A$2:$B$129,2,FALSE)</f>
        <v>F#2</v>
      </c>
      <c r="D56" s="14" t="s">
        <v>264</v>
      </c>
      <c r="E56" s="14"/>
      <c r="F56" s="14"/>
    </row>
    <row r="57" spans="1:6">
      <c r="A57" s="7">
        <v>55</v>
      </c>
      <c r="B57" s="7">
        <v>55</v>
      </c>
      <c r="C57" t="str">
        <f>VLOOKUP(B57,_Pitch!$A$2:$B$129,2,FALSE)</f>
        <v>G2</v>
      </c>
      <c r="D57" s="14" t="s">
        <v>904</v>
      </c>
      <c r="E57" s="14" t="s">
        <v>904</v>
      </c>
      <c r="F57" s="14"/>
    </row>
    <row r="58" spans="1:6">
      <c r="A58" s="7">
        <v>56</v>
      </c>
      <c r="B58" s="7">
        <v>56</v>
      </c>
      <c r="C58" t="str">
        <f>VLOOKUP(B58,_Pitch!$A$2:$B$129,2,FALSE)</f>
        <v>G#2</v>
      </c>
      <c r="D58" s="14" t="s">
        <v>714</v>
      </c>
      <c r="E58" s="14"/>
      <c r="F58" s="14"/>
    </row>
    <row r="59" spans="1:6">
      <c r="A59" s="7">
        <v>57</v>
      </c>
      <c r="B59" s="7">
        <v>57</v>
      </c>
      <c r="C59" t="str">
        <f>VLOOKUP(B59,_Pitch!$A$2:$B$129,2,FALSE)</f>
        <v>A2</v>
      </c>
      <c r="D59" s="14" t="s">
        <v>715</v>
      </c>
      <c r="E59" s="14" t="s">
        <v>569</v>
      </c>
      <c r="F59" s="14"/>
    </row>
    <row r="60" spans="1:6">
      <c r="A60" s="7">
        <v>58</v>
      </c>
      <c r="B60" s="7">
        <v>58</v>
      </c>
      <c r="C60" t="str">
        <f>VLOOKUP(B60,_Pitch!$A$2:$B$129,2,FALSE)</f>
        <v>A#2</v>
      </c>
      <c r="D60" s="14" t="s">
        <v>716</v>
      </c>
      <c r="E60" s="14"/>
      <c r="F60" s="14"/>
    </row>
    <row r="61" spans="1:6">
      <c r="A61" s="7">
        <v>59</v>
      </c>
      <c r="B61" s="7">
        <v>59</v>
      </c>
      <c r="C61" t="str">
        <f>VLOOKUP(B61,_Pitch!$A$2:$B$129,2,FALSE)</f>
        <v>B2</v>
      </c>
      <c r="D61" s="14" t="s">
        <v>717</v>
      </c>
      <c r="E61" s="14" t="s">
        <v>182</v>
      </c>
      <c r="F61" s="14"/>
    </row>
    <row r="62" spans="1:6">
      <c r="A62" s="7">
        <v>60</v>
      </c>
      <c r="B62" s="7">
        <v>60</v>
      </c>
      <c r="C62" t="str">
        <f>VLOOKUP(B62,_Pitch!$A$2:$B$129,2,FALSE)</f>
        <v>C3</v>
      </c>
      <c r="D62" s="14" t="s">
        <v>699</v>
      </c>
      <c r="E62" s="14" t="s">
        <v>403</v>
      </c>
      <c r="F62" s="14" t="s">
        <v>290</v>
      </c>
    </row>
    <row r="63" spans="1:6">
      <c r="A63" s="7">
        <v>61</v>
      </c>
      <c r="B63" s="7">
        <v>61</v>
      </c>
      <c r="C63" t="str">
        <f>VLOOKUP(B63,_Pitch!$A$2:$B$129,2,FALSE)</f>
        <v>C#3</v>
      </c>
      <c r="D63" s="14" t="s">
        <v>697</v>
      </c>
      <c r="E63" s="14" t="s">
        <v>403</v>
      </c>
      <c r="F63" s="14" t="s">
        <v>290</v>
      </c>
    </row>
    <row r="64" spans="1:6">
      <c r="A64" s="7">
        <v>62</v>
      </c>
      <c r="B64" s="7">
        <v>62</v>
      </c>
      <c r="C64" t="str">
        <f>VLOOKUP(B64,_Pitch!$A$2:$B$129,2,FALSE)</f>
        <v>D3</v>
      </c>
      <c r="D64" s="14" t="s">
        <v>698</v>
      </c>
      <c r="E64" s="14" t="s">
        <v>149</v>
      </c>
      <c r="F64" s="14"/>
    </row>
    <row r="65" spans="1:6">
      <c r="A65" s="7">
        <v>63</v>
      </c>
      <c r="B65" s="7">
        <v>63</v>
      </c>
      <c r="C65" t="str">
        <f>VLOOKUP(B65,_Pitch!$A$2:$B$129,2,FALSE)</f>
        <v>D#3</v>
      </c>
      <c r="D65" s="14"/>
      <c r="E65" s="14"/>
      <c r="F65" s="14"/>
    </row>
    <row r="66" spans="1:6">
      <c r="A66" s="7">
        <v>64</v>
      </c>
      <c r="B66" s="7">
        <v>64</v>
      </c>
      <c r="C66" t="str">
        <f>VLOOKUP(B66,_Pitch!$A$2:$B$129,2,FALSE)</f>
        <v>E3</v>
      </c>
      <c r="D66" s="14" t="s">
        <v>718</v>
      </c>
      <c r="E66" s="14" t="s">
        <v>159</v>
      </c>
      <c r="F66" s="14"/>
    </row>
    <row r="67" spans="1:6">
      <c r="A67" s="7">
        <v>65</v>
      </c>
      <c r="B67" s="7">
        <v>65</v>
      </c>
      <c r="C67" t="str">
        <f>VLOOKUP(B67,_Pitch!$A$2:$B$129,2,FALSE)</f>
        <v>F3</v>
      </c>
      <c r="D67" s="14" t="s">
        <v>719</v>
      </c>
      <c r="E67" s="14" t="s">
        <v>160</v>
      </c>
      <c r="F67" s="14"/>
    </row>
    <row r="68" spans="1:6">
      <c r="A68" s="7">
        <v>66</v>
      </c>
      <c r="B68" s="7">
        <v>66</v>
      </c>
      <c r="C68" t="str">
        <f>VLOOKUP(B68,_Pitch!$A$2:$B$129,2,FALSE)</f>
        <v>F#3</v>
      </c>
      <c r="D68" s="14"/>
      <c r="E68" s="14"/>
      <c r="F68" s="14"/>
    </row>
    <row r="69" spans="1:6">
      <c r="A69" s="7">
        <v>67</v>
      </c>
      <c r="B69" s="7">
        <v>67</v>
      </c>
      <c r="C69" t="str">
        <f>VLOOKUP(B69,_Pitch!$A$2:$B$129,2,FALSE)</f>
        <v>G3</v>
      </c>
      <c r="D69" s="14" t="s">
        <v>720</v>
      </c>
      <c r="E69" s="14" t="s">
        <v>161</v>
      </c>
      <c r="F69" s="14"/>
    </row>
    <row r="70" spans="1:6">
      <c r="A70" s="7">
        <v>68</v>
      </c>
      <c r="B70" s="7">
        <v>68</v>
      </c>
      <c r="C70" t="str">
        <f>VLOOKUP(B70,_Pitch!$A$2:$B$129,2,FALSE)</f>
        <v>G#3</v>
      </c>
      <c r="D70" s="14"/>
      <c r="E70" s="14"/>
      <c r="F70" s="14"/>
    </row>
    <row r="71" spans="1:6">
      <c r="A71" s="7">
        <v>69</v>
      </c>
      <c r="B71" s="7">
        <v>69</v>
      </c>
      <c r="C71" t="str">
        <f>VLOOKUP(B71,_Pitch!$A$2:$B$129,2,FALSE)</f>
        <v>A3</v>
      </c>
      <c r="D71" s="14" t="s">
        <v>721</v>
      </c>
      <c r="E71" s="14" t="s">
        <v>162</v>
      </c>
      <c r="F71" s="14"/>
    </row>
    <row r="72" spans="1:6">
      <c r="A72" s="7">
        <v>70</v>
      </c>
      <c r="B72" s="7">
        <v>70</v>
      </c>
      <c r="C72" t="str">
        <f>VLOOKUP(B72,_Pitch!$A$2:$B$129,2,FALSE)</f>
        <v>A#3</v>
      </c>
      <c r="D72" s="14"/>
      <c r="E72" s="14"/>
      <c r="F72" s="14"/>
    </row>
    <row r="73" spans="1:6">
      <c r="A73" s="7">
        <v>71</v>
      </c>
      <c r="B73" s="7">
        <v>71</v>
      </c>
      <c r="C73" t="str">
        <f>VLOOKUP(B73,_Pitch!$A$2:$B$129,2,FALSE)</f>
        <v>B3</v>
      </c>
      <c r="D73" s="14" t="s">
        <v>722</v>
      </c>
      <c r="E73" s="14" t="s">
        <v>163</v>
      </c>
      <c r="F73" s="14"/>
    </row>
    <row r="74" spans="1:6">
      <c r="A74" s="7">
        <v>72</v>
      </c>
      <c r="B74" s="7">
        <v>72</v>
      </c>
      <c r="C74" t="str">
        <f>VLOOKUP(B74,_Pitch!$A$2:$B$129,2,FALSE)</f>
        <v>C4</v>
      </c>
      <c r="D74" s="14" t="s">
        <v>699</v>
      </c>
      <c r="E74" s="14" t="s">
        <v>403</v>
      </c>
      <c r="F74" s="14" t="s">
        <v>290</v>
      </c>
    </row>
    <row r="75" spans="1:6">
      <c r="A75" s="7">
        <v>73</v>
      </c>
      <c r="B75" s="7">
        <v>73</v>
      </c>
      <c r="C75" t="str">
        <f>VLOOKUP(B75,_Pitch!$A$2:$B$129,2,FALSE)</f>
        <v>C#4</v>
      </c>
      <c r="D75" s="14" t="s">
        <v>697</v>
      </c>
      <c r="E75" s="14" t="s">
        <v>1068</v>
      </c>
      <c r="F75" s="14"/>
    </row>
    <row r="76" spans="1:6">
      <c r="A76" s="7">
        <v>74</v>
      </c>
      <c r="B76" s="7">
        <v>74</v>
      </c>
      <c r="C76" t="str">
        <f>VLOOKUP(B76,_Pitch!$A$2:$B$129,2,FALSE)</f>
        <v>D4</v>
      </c>
      <c r="D76" s="14" t="s">
        <v>705</v>
      </c>
      <c r="E76" s="14"/>
      <c r="F76" s="14"/>
    </row>
    <row r="77" spans="1:6">
      <c r="A77" s="7">
        <v>75</v>
      </c>
      <c r="B77" s="7">
        <v>75</v>
      </c>
      <c r="C77" t="str">
        <f>VLOOKUP(B77,_Pitch!$A$2:$B$129,2,FALSE)</f>
        <v>D#4</v>
      </c>
      <c r="D77" s="14"/>
      <c r="E77" s="14"/>
      <c r="F77" s="14"/>
    </row>
    <row r="78" spans="1:6">
      <c r="A78" s="7">
        <v>76</v>
      </c>
      <c r="B78" s="7">
        <v>76</v>
      </c>
      <c r="C78" t="str">
        <f>VLOOKUP(B78,_Pitch!$A$2:$B$129,2,FALSE)</f>
        <v>E4</v>
      </c>
      <c r="D78" s="14" t="s">
        <v>723</v>
      </c>
      <c r="E78" s="14" t="s">
        <v>165</v>
      </c>
      <c r="F78" s="14" t="s">
        <v>290</v>
      </c>
    </row>
    <row r="79" spans="1:6">
      <c r="A79" s="7">
        <v>77</v>
      </c>
      <c r="B79" s="7">
        <v>77</v>
      </c>
      <c r="C79" t="str">
        <f>VLOOKUP(B79,_Pitch!$A$2:$B$129,2,FALSE)</f>
        <v>F4</v>
      </c>
      <c r="D79" s="14" t="s">
        <v>724</v>
      </c>
      <c r="E79" s="14" t="s">
        <v>166</v>
      </c>
      <c r="F79" s="14"/>
    </row>
    <row r="80" spans="1:6">
      <c r="A80" s="7">
        <v>78</v>
      </c>
      <c r="B80" s="7">
        <v>78</v>
      </c>
      <c r="C80" t="str">
        <f>VLOOKUP(B80,_Pitch!$A$2:$B$129,2,FALSE)</f>
        <v>F#4</v>
      </c>
      <c r="D80" s="14"/>
      <c r="E80" s="14"/>
      <c r="F80" s="14"/>
    </row>
    <row r="81" spans="1:6">
      <c r="A81" s="7">
        <v>79</v>
      </c>
      <c r="B81" s="7">
        <v>79</v>
      </c>
      <c r="C81" t="str">
        <f>VLOOKUP(B81,_Pitch!$A$2:$B$129,2,FALSE)</f>
        <v>G4</v>
      </c>
      <c r="D81" s="14" t="s">
        <v>725</v>
      </c>
      <c r="E81" s="14" t="s">
        <v>167</v>
      </c>
      <c r="F81" s="14"/>
    </row>
    <row r="82" spans="1:6">
      <c r="A82" s="7">
        <v>80</v>
      </c>
      <c r="B82" s="7">
        <v>80</v>
      </c>
      <c r="C82" t="str">
        <f>VLOOKUP(B82,_Pitch!$A$2:$B$129,2,FALSE)</f>
        <v>G#4</v>
      </c>
      <c r="D82" s="14"/>
      <c r="E82" s="14"/>
      <c r="F82" s="14"/>
    </row>
    <row r="83" spans="1:6">
      <c r="A83" s="7">
        <v>81</v>
      </c>
      <c r="B83" s="7">
        <v>81</v>
      </c>
      <c r="C83" t="str">
        <f>VLOOKUP(B83,_Pitch!$A$2:$B$129,2,FALSE)</f>
        <v>A4</v>
      </c>
      <c r="D83" s="14" t="s">
        <v>726</v>
      </c>
      <c r="E83" s="14" t="s">
        <v>168</v>
      </c>
      <c r="F83" s="14"/>
    </row>
    <row r="84" spans="1:6">
      <c r="A84" s="7">
        <v>82</v>
      </c>
      <c r="B84" s="7">
        <v>82</v>
      </c>
      <c r="C84" t="str">
        <f>VLOOKUP(B84,_Pitch!$A$2:$B$129,2,FALSE)</f>
        <v>A#4</v>
      </c>
      <c r="D84" s="14"/>
      <c r="E84" s="14"/>
      <c r="F84" s="14"/>
    </row>
    <row r="85" spans="1:6">
      <c r="A85" s="7">
        <v>83</v>
      </c>
      <c r="B85" s="7">
        <v>83</v>
      </c>
      <c r="C85" t="str">
        <f>VLOOKUP(B85,_Pitch!$A$2:$B$129,2,FALSE)</f>
        <v>B4</v>
      </c>
      <c r="D85" s="14" t="s">
        <v>727</v>
      </c>
      <c r="E85" s="14" t="s">
        <v>169</v>
      </c>
      <c r="F85" s="14"/>
    </row>
    <row r="86" spans="1:6">
      <c r="A86" s="7">
        <v>84</v>
      </c>
      <c r="B86" s="7">
        <v>84</v>
      </c>
      <c r="C86" t="str">
        <f>VLOOKUP(B86,_Pitch!$A$2:$B$129,2,FALSE)</f>
        <v>C5</v>
      </c>
      <c r="D86" s="14"/>
      <c r="E86" s="14"/>
      <c r="F86" s="14"/>
    </row>
    <row r="87" spans="1:6">
      <c r="A87" s="7">
        <v>85</v>
      </c>
      <c r="B87" s="7">
        <v>85</v>
      </c>
      <c r="C87" t="str">
        <f>VLOOKUP(B87,_Pitch!$A$2:$B$129,2,FALSE)</f>
        <v>C#5</v>
      </c>
      <c r="D87" s="14"/>
      <c r="E87" s="14"/>
      <c r="F87" s="14"/>
    </row>
    <row r="88" spans="1:6">
      <c r="A88" s="7">
        <v>86</v>
      </c>
      <c r="B88" s="7">
        <v>86</v>
      </c>
      <c r="C88" t="str">
        <f>VLOOKUP(B88,_Pitch!$A$2:$B$129,2,FALSE)</f>
        <v>D5</v>
      </c>
      <c r="D88" s="14"/>
      <c r="E88" s="14"/>
      <c r="F88" s="14"/>
    </row>
    <row r="89" spans="1:6">
      <c r="A89" s="7">
        <v>87</v>
      </c>
      <c r="B89" s="7">
        <v>87</v>
      </c>
      <c r="C89" t="str">
        <f>VLOOKUP(B89,_Pitch!$A$2:$B$129,2,FALSE)</f>
        <v>D#5</v>
      </c>
      <c r="D89" s="14"/>
      <c r="E89" s="14"/>
      <c r="F89" s="14"/>
    </row>
    <row r="90" spans="1:6">
      <c r="A90" s="7">
        <v>88</v>
      </c>
      <c r="B90" s="7">
        <v>88</v>
      </c>
      <c r="C90" t="str">
        <f>VLOOKUP(B90,_Pitch!$A$2:$B$129,2,FALSE)</f>
        <v>E5</v>
      </c>
      <c r="D90" s="14"/>
      <c r="E90" s="14"/>
      <c r="F90" s="14"/>
    </row>
    <row r="91" spans="1:6">
      <c r="A91" s="7">
        <v>89</v>
      </c>
      <c r="B91" s="7">
        <v>89</v>
      </c>
      <c r="C91" t="str">
        <f>VLOOKUP(B91,_Pitch!$A$2:$B$129,2,FALSE)</f>
        <v>F5</v>
      </c>
      <c r="D91" s="14"/>
      <c r="E91" s="14"/>
      <c r="F91" s="14"/>
    </row>
    <row r="92" spans="1:6">
      <c r="A92" s="7">
        <v>90</v>
      </c>
      <c r="B92" s="7">
        <v>90</v>
      </c>
      <c r="C92" t="str">
        <f>VLOOKUP(B92,_Pitch!$A$2:$B$129,2,FALSE)</f>
        <v>F#5</v>
      </c>
      <c r="D92" s="14"/>
      <c r="E92" s="14"/>
      <c r="F92" s="14"/>
    </row>
    <row r="93" spans="1:6">
      <c r="A93" s="7">
        <v>91</v>
      </c>
      <c r="B93" s="7">
        <v>91</v>
      </c>
      <c r="C93" t="str">
        <f>VLOOKUP(B93,_Pitch!$A$2:$B$129,2,FALSE)</f>
        <v>G5</v>
      </c>
      <c r="D93" s="14"/>
      <c r="E93" s="14"/>
      <c r="F93" s="14"/>
    </row>
    <row r="94" spans="1:6">
      <c r="A94" s="7">
        <v>92</v>
      </c>
      <c r="B94" s="7">
        <v>92</v>
      </c>
      <c r="C94" t="str">
        <f>VLOOKUP(B94,_Pitch!$A$2:$B$129,2,FALSE)</f>
        <v>G#5</v>
      </c>
      <c r="D94" s="14"/>
      <c r="E94" s="14"/>
      <c r="F94" s="14"/>
    </row>
    <row r="95" spans="1:6">
      <c r="A95" s="7">
        <v>93</v>
      </c>
      <c r="B95" s="7">
        <v>93</v>
      </c>
      <c r="C95" t="str">
        <f>VLOOKUP(B95,_Pitch!$A$2:$B$129,2,FALSE)</f>
        <v>A5</v>
      </c>
      <c r="D95" s="14"/>
      <c r="E95" s="14"/>
      <c r="F95" s="14"/>
    </row>
    <row r="96" spans="1:6">
      <c r="A96" s="7">
        <v>94</v>
      </c>
      <c r="B96" s="7">
        <v>94</v>
      </c>
      <c r="C96" t="str">
        <f>VLOOKUP(B96,_Pitch!$A$2:$B$129,2,FALSE)</f>
        <v>A#5</v>
      </c>
      <c r="D96" s="14"/>
      <c r="E96" s="14"/>
      <c r="F96" s="14"/>
    </row>
    <row r="97" spans="1:6">
      <c r="A97" s="7">
        <v>95</v>
      </c>
      <c r="B97" s="7">
        <v>95</v>
      </c>
      <c r="C97" t="str">
        <f>VLOOKUP(B97,_Pitch!$A$2:$B$129,2,FALSE)</f>
        <v>B5</v>
      </c>
      <c r="D97" s="14"/>
      <c r="E97" s="14"/>
      <c r="F97" s="14"/>
    </row>
    <row r="98" spans="1:6">
      <c r="A98" s="7">
        <v>96</v>
      </c>
      <c r="B98" s="7">
        <v>96</v>
      </c>
      <c r="C98" t="str">
        <f>VLOOKUP(B98,_Pitch!$A$2:$B$129,2,FALSE)</f>
        <v>C6</v>
      </c>
      <c r="D98" s="14"/>
      <c r="E98" s="14"/>
      <c r="F98" s="14"/>
    </row>
    <row r="99" spans="1:6">
      <c r="A99" s="7">
        <v>97</v>
      </c>
      <c r="B99" s="7">
        <v>97</v>
      </c>
      <c r="C99" t="str">
        <f>VLOOKUP(B99,_Pitch!$A$2:$B$129,2,FALSE)</f>
        <v>C#6</v>
      </c>
      <c r="D99" s="14"/>
      <c r="E99" s="14"/>
      <c r="F99" s="14"/>
    </row>
    <row r="100" spans="1:6">
      <c r="A100" s="7">
        <v>98</v>
      </c>
      <c r="B100" s="7">
        <v>98</v>
      </c>
      <c r="C100" t="str">
        <f>VLOOKUP(B100,_Pitch!$A$2:$B$129,2,FALSE)</f>
        <v>D6</v>
      </c>
      <c r="D100" s="14"/>
      <c r="E100" s="14"/>
      <c r="F100" s="14"/>
    </row>
    <row r="101" spans="1:6">
      <c r="A101" s="7">
        <v>99</v>
      </c>
      <c r="B101" s="7">
        <v>99</v>
      </c>
      <c r="C101" t="str">
        <f>VLOOKUP(B101,_Pitch!$A$2:$B$129,2,FALSE)</f>
        <v>D#6</v>
      </c>
      <c r="D101" s="14"/>
      <c r="E101" s="14"/>
      <c r="F101" s="14"/>
    </row>
    <row r="102" spans="1:6">
      <c r="A102" s="7">
        <v>100</v>
      </c>
      <c r="B102" s="7">
        <v>100</v>
      </c>
      <c r="C102" t="str">
        <f>VLOOKUP(B102,_Pitch!$A$2:$B$129,2,FALSE)</f>
        <v>E6</v>
      </c>
      <c r="D102" s="14"/>
      <c r="E102" s="14"/>
      <c r="F102" s="14"/>
    </row>
    <row r="103" spans="1:6">
      <c r="A103" s="7">
        <v>101</v>
      </c>
      <c r="B103" s="7">
        <v>101</v>
      </c>
      <c r="C103" t="str">
        <f>VLOOKUP(B103,_Pitch!$A$2:$B$129,2,FALSE)</f>
        <v>F6</v>
      </c>
      <c r="D103" s="14"/>
      <c r="E103" s="14"/>
      <c r="F103" s="14"/>
    </row>
    <row r="104" spans="1:6">
      <c r="A104" s="7">
        <v>102</v>
      </c>
      <c r="B104" s="7">
        <v>102</v>
      </c>
      <c r="C104" t="str">
        <f>VLOOKUP(B104,_Pitch!$A$2:$B$129,2,FALSE)</f>
        <v>F#6</v>
      </c>
      <c r="D104" s="14"/>
      <c r="E104" s="14"/>
      <c r="F104" s="14"/>
    </row>
    <row r="105" spans="1:6">
      <c r="A105" s="7">
        <v>103</v>
      </c>
      <c r="B105" s="7">
        <v>103</v>
      </c>
      <c r="C105" t="str">
        <f>VLOOKUP(B105,_Pitch!$A$2:$B$129,2,FALSE)</f>
        <v>G6</v>
      </c>
      <c r="D105" s="14"/>
      <c r="E105" s="14"/>
      <c r="F105" s="14"/>
    </row>
    <row r="106" spans="1:6">
      <c r="A106" s="7">
        <v>104</v>
      </c>
      <c r="B106" s="7">
        <v>104</v>
      </c>
      <c r="C106" t="str">
        <f>VLOOKUP(B106,_Pitch!$A$2:$B$129,2,FALSE)</f>
        <v>G#6</v>
      </c>
      <c r="D106" s="14"/>
      <c r="E106" s="14"/>
      <c r="F106" s="14"/>
    </row>
    <row r="107" spans="1:6">
      <c r="A107" s="7">
        <v>105</v>
      </c>
      <c r="B107" s="7">
        <v>105</v>
      </c>
      <c r="C107" t="str">
        <f>VLOOKUP(B107,_Pitch!$A$2:$B$129,2,FALSE)</f>
        <v>A6</v>
      </c>
      <c r="D107" s="14"/>
      <c r="E107" s="14"/>
      <c r="F107" s="14"/>
    </row>
    <row r="108" spans="1:6">
      <c r="A108" s="7">
        <v>106</v>
      </c>
      <c r="B108" s="7">
        <v>106</v>
      </c>
      <c r="C108" t="str">
        <f>VLOOKUP(B108,_Pitch!$A$2:$B$129,2,FALSE)</f>
        <v>A#6</v>
      </c>
      <c r="D108" s="14"/>
      <c r="E108" s="14"/>
      <c r="F108" s="14"/>
    </row>
    <row r="109" spans="1:6">
      <c r="A109" s="7">
        <v>107</v>
      </c>
      <c r="B109" s="7">
        <v>107</v>
      </c>
      <c r="C109" t="str">
        <f>VLOOKUP(B109,_Pitch!$A$2:$B$129,2,FALSE)</f>
        <v>B6</v>
      </c>
      <c r="D109" s="14"/>
      <c r="E109" s="14"/>
      <c r="F109" s="14"/>
    </row>
    <row r="110" spans="1:6">
      <c r="A110" s="7">
        <v>108</v>
      </c>
      <c r="B110" s="7">
        <v>108</v>
      </c>
      <c r="C110" t="str">
        <f>VLOOKUP(B110,_Pitch!$A$2:$B$129,2,FALSE)</f>
        <v>C7</v>
      </c>
      <c r="D110" s="14"/>
      <c r="E110" s="14"/>
      <c r="F110" s="14"/>
    </row>
    <row r="111" spans="1:6">
      <c r="A111" s="7">
        <v>109</v>
      </c>
      <c r="B111" s="7">
        <v>109</v>
      </c>
      <c r="C111" t="str">
        <f>VLOOKUP(B111,_Pitch!$A$2:$B$129,2,FALSE)</f>
        <v>C#7</v>
      </c>
      <c r="D111" s="14"/>
      <c r="E111" s="14"/>
      <c r="F111" s="14"/>
    </row>
    <row r="112" spans="1:6">
      <c r="A112" s="7">
        <v>110</v>
      </c>
      <c r="B112" s="7">
        <v>110</v>
      </c>
      <c r="C112" t="str">
        <f>VLOOKUP(B112,_Pitch!$A$2:$B$129,2,FALSE)</f>
        <v>D7</v>
      </c>
      <c r="D112" s="14"/>
      <c r="E112" s="14"/>
      <c r="F112" s="14"/>
    </row>
    <row r="113" spans="1:6">
      <c r="A113" s="7">
        <v>111</v>
      </c>
      <c r="B113" s="7">
        <v>111</v>
      </c>
      <c r="C113" t="str">
        <f>VLOOKUP(B113,_Pitch!$A$2:$B$129,2,FALSE)</f>
        <v>D#7</v>
      </c>
      <c r="D113" s="14"/>
      <c r="E113" s="14"/>
      <c r="F113" s="14"/>
    </row>
    <row r="114" spans="1:6">
      <c r="A114" s="7">
        <v>112</v>
      </c>
      <c r="B114" s="7">
        <v>112</v>
      </c>
      <c r="C114" t="str">
        <f>VLOOKUP(B114,_Pitch!$A$2:$B$129,2,FALSE)</f>
        <v>E7</v>
      </c>
      <c r="D114" s="14"/>
      <c r="E114" s="14"/>
      <c r="F114" s="14"/>
    </row>
    <row r="115" spans="1:6">
      <c r="A115" s="7">
        <v>113</v>
      </c>
      <c r="B115" s="7">
        <v>113</v>
      </c>
      <c r="C115" t="str">
        <f>VLOOKUP(B115,_Pitch!$A$2:$B$129,2,FALSE)</f>
        <v>F7</v>
      </c>
      <c r="D115" s="14"/>
      <c r="E115" s="14"/>
      <c r="F115" s="14"/>
    </row>
    <row r="116" spans="1:6">
      <c r="A116" s="7">
        <v>114</v>
      </c>
      <c r="B116" s="7">
        <v>114</v>
      </c>
      <c r="C116" t="str">
        <f>VLOOKUP(B116,_Pitch!$A$2:$B$129,2,FALSE)</f>
        <v>F#7</v>
      </c>
      <c r="D116" s="14"/>
      <c r="E116" s="14"/>
      <c r="F116" s="14"/>
    </row>
    <row r="117" spans="1:6">
      <c r="A117" s="7">
        <v>115</v>
      </c>
      <c r="B117" s="7">
        <v>115</v>
      </c>
      <c r="C117" t="str">
        <f>VLOOKUP(B117,_Pitch!$A$2:$B$129,2,FALSE)</f>
        <v>G7</v>
      </c>
      <c r="D117" s="14"/>
      <c r="E117" s="14"/>
      <c r="F117" s="14"/>
    </row>
    <row r="118" spans="1:6">
      <c r="A118" s="7">
        <v>116</v>
      </c>
      <c r="B118" s="7">
        <v>116</v>
      </c>
      <c r="C118" t="str">
        <f>VLOOKUP(B118,_Pitch!$A$2:$B$129,2,FALSE)</f>
        <v>G#7</v>
      </c>
      <c r="D118" s="14"/>
      <c r="E118" s="14"/>
      <c r="F118" s="14"/>
    </row>
    <row r="119" spans="1:6">
      <c r="A119" s="7">
        <v>117</v>
      </c>
      <c r="B119" s="7">
        <v>117</v>
      </c>
      <c r="C119" t="str">
        <f>VLOOKUP(B119,_Pitch!$A$2:$B$129,2,FALSE)</f>
        <v>A7</v>
      </c>
      <c r="D119" s="14"/>
      <c r="E119" s="14"/>
      <c r="F119" s="14"/>
    </row>
    <row r="120" spans="1:6">
      <c r="A120" s="7">
        <v>118</v>
      </c>
      <c r="B120" s="7">
        <v>118</v>
      </c>
      <c r="C120" t="str">
        <f>VLOOKUP(B120,_Pitch!$A$2:$B$129,2,FALSE)</f>
        <v>A#7</v>
      </c>
      <c r="D120" s="14"/>
      <c r="E120" s="14"/>
      <c r="F120" s="14"/>
    </row>
    <row r="121" spans="1:6">
      <c r="A121" s="7">
        <v>119</v>
      </c>
      <c r="B121" s="7">
        <v>119</v>
      </c>
      <c r="C121" t="str">
        <f>VLOOKUP(B121,_Pitch!$A$2:$B$129,2,FALSE)</f>
        <v>B7</v>
      </c>
      <c r="D121" s="14"/>
      <c r="E121" s="14"/>
      <c r="F121" s="14"/>
    </row>
    <row r="122" spans="1:6">
      <c r="A122" s="7">
        <v>120</v>
      </c>
      <c r="B122" s="7">
        <v>120</v>
      </c>
      <c r="C122" t="str">
        <f>VLOOKUP(B122,_Pitch!$A$2:$B$129,2,FALSE)</f>
        <v>C8</v>
      </c>
      <c r="D122" s="14"/>
      <c r="E122" s="14"/>
      <c r="F122" s="14"/>
    </row>
    <row r="123" spans="1:6">
      <c r="A123" s="7">
        <v>121</v>
      </c>
      <c r="B123" s="7">
        <v>121</v>
      </c>
      <c r="C123" t="str">
        <f>VLOOKUP(B123,_Pitch!$A$2:$B$129,2,FALSE)</f>
        <v>C#8</v>
      </c>
      <c r="D123" s="14"/>
      <c r="E123" s="14"/>
      <c r="F123" s="14"/>
    </row>
    <row r="124" spans="1:6">
      <c r="A124" s="7">
        <v>122</v>
      </c>
      <c r="B124" s="7">
        <v>122</v>
      </c>
      <c r="C124" t="str">
        <f>VLOOKUP(B124,_Pitch!$A$2:$B$129,2,FALSE)</f>
        <v>D8</v>
      </c>
      <c r="D124" s="14"/>
      <c r="E124" s="14"/>
      <c r="F124" s="14"/>
    </row>
    <row r="125" spans="1:6">
      <c r="A125" s="7">
        <v>123</v>
      </c>
      <c r="B125" s="7">
        <v>123</v>
      </c>
      <c r="C125" t="str">
        <f>VLOOKUP(B125,_Pitch!$A$2:$B$129,2,FALSE)</f>
        <v>D#8</v>
      </c>
      <c r="D125" s="14"/>
      <c r="E125" s="14"/>
      <c r="F125" s="14"/>
    </row>
    <row r="126" spans="1:6">
      <c r="A126" s="7">
        <v>124</v>
      </c>
      <c r="B126" s="7">
        <v>124</v>
      </c>
      <c r="C126" t="str">
        <f>VLOOKUP(B126,_Pitch!$A$2:$B$129,2,FALSE)</f>
        <v>E8</v>
      </c>
      <c r="D126" s="14"/>
      <c r="E126" s="14"/>
      <c r="F126" s="14"/>
    </row>
    <row r="127" spans="1:6">
      <c r="A127" s="7">
        <v>125</v>
      </c>
      <c r="B127" s="7">
        <v>125</v>
      </c>
      <c r="C127" t="str">
        <f>VLOOKUP(B127,_Pitch!$A$2:$B$129,2,FALSE)</f>
        <v>F8</v>
      </c>
      <c r="D127" s="14"/>
      <c r="E127" s="14"/>
      <c r="F127" s="14"/>
    </row>
    <row r="128" spans="1:6">
      <c r="A128" s="7">
        <v>126</v>
      </c>
      <c r="B128" s="7">
        <v>126</v>
      </c>
      <c r="C128" t="str">
        <f>VLOOKUP(B128,_Pitch!$A$2:$B$129,2,FALSE)</f>
        <v>F#8</v>
      </c>
      <c r="D128" s="14"/>
      <c r="E128" s="14"/>
      <c r="F128" s="14"/>
    </row>
    <row r="129" spans="1:6">
      <c r="A129" s="7">
        <v>127</v>
      </c>
      <c r="B129" s="7">
        <v>127</v>
      </c>
      <c r="C129" t="str">
        <f>VLOOKUP(B129,_Pitch!$A$2:$B$129,2,FALSE)</f>
        <v>G8</v>
      </c>
      <c r="D129" s="14"/>
      <c r="E129" s="14"/>
      <c r="F129" s="14"/>
    </row>
  </sheetData>
  <autoFilter ref="A1:G129" xr:uid="{289FCFAE-141C-4446-96B6-4523E8A7A981}"/>
  <phoneticPr fontId="1"/>
  <dataValidations count="1">
    <dataValidation type="list" allowBlank="1" showInputMessage="1" showErrorMessage="1" sqref="F2:F129" xr:uid="{F15EE072-0ABC-4E91-9F56-21DD3652F839}">
      <formula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5F23DC2-DEA1-49E4-AD7E-F4A96E6956A6}">
          <x14:formula1>
            <xm:f>_Articulation!$B$2:B$158</xm:f>
          </x14:formula1>
          <xm:sqref>E2:E129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F91694-971A-4FF4-B6A7-B9F9123FF366}">
  <sheetPr codeName="Sheet28"/>
  <dimension ref="A1:G129"/>
  <sheetViews>
    <sheetView workbookViewId="0">
      <pane ySplit="1" topLeftCell="A2" activePane="bottomLeft" state="frozen"/>
      <selection activeCell="D14" sqref="D14"/>
      <selection pane="bottomLeft" activeCell="D14" sqref="D14"/>
    </sheetView>
  </sheetViews>
  <sheetFormatPr defaultRowHeight="13.5"/>
  <cols>
    <col min="1" max="1" width="4.5" style="7" bestFit="1" customWidth="1"/>
    <col min="2" max="2" width="4.5" bestFit="1" customWidth="1"/>
    <col min="3" max="3" width="5.5" bestFit="1" customWidth="1"/>
    <col min="4" max="4" width="45.625" customWidth="1"/>
    <col min="5" max="5" width="28.25" customWidth="1"/>
    <col min="6" max="6" width="10.25" customWidth="1"/>
  </cols>
  <sheetData>
    <row r="1" spans="1:7" s="6" customFormat="1" ht="141.75" customHeight="1">
      <c r="A1" s="15" t="s">
        <v>130</v>
      </c>
      <c r="B1" s="15" t="s">
        <v>1105</v>
      </c>
      <c r="C1" s="15" t="s">
        <v>1106</v>
      </c>
      <c r="D1" s="16" t="s">
        <v>131</v>
      </c>
      <c r="E1" s="23" t="s">
        <v>132</v>
      </c>
      <c r="F1" s="17" t="s">
        <v>664</v>
      </c>
      <c r="G1" s="15" t="s">
        <v>696</v>
      </c>
    </row>
    <row r="2" spans="1:7">
      <c r="A2" s="7">
        <v>0</v>
      </c>
      <c r="B2" s="7">
        <v>0</v>
      </c>
      <c r="C2" t="str">
        <f>VLOOKUP(B2,_Pitch!$A$2:$B$129,2,FALSE)</f>
        <v>C-2</v>
      </c>
      <c r="D2" s="14"/>
      <c r="E2" s="14"/>
      <c r="F2" s="14"/>
    </row>
    <row r="3" spans="1:7">
      <c r="A3" s="7">
        <v>1</v>
      </c>
      <c r="B3" s="7">
        <v>1</v>
      </c>
      <c r="C3" t="str">
        <f>VLOOKUP(B3,_Pitch!$A$2:$B$129,2,FALSE)</f>
        <v>C#-2</v>
      </c>
      <c r="D3" s="14"/>
      <c r="E3" s="14"/>
      <c r="F3" s="14"/>
    </row>
    <row r="4" spans="1:7">
      <c r="A4" s="7">
        <v>2</v>
      </c>
      <c r="B4" s="7">
        <v>2</v>
      </c>
      <c r="C4" t="str">
        <f>VLOOKUP(B4,_Pitch!$A$2:$B$129,2,FALSE)</f>
        <v>D-2</v>
      </c>
      <c r="D4" s="14"/>
      <c r="E4" s="14"/>
      <c r="F4" s="14"/>
    </row>
    <row r="5" spans="1:7">
      <c r="A5" s="7">
        <v>3</v>
      </c>
      <c r="B5" s="7">
        <v>3</v>
      </c>
      <c r="C5" t="str">
        <f>VLOOKUP(B5,_Pitch!$A$2:$B$129,2,FALSE)</f>
        <v>D#-2</v>
      </c>
      <c r="D5" s="14"/>
      <c r="E5" s="14"/>
      <c r="F5" s="14"/>
    </row>
    <row r="6" spans="1:7">
      <c r="A6" s="7">
        <v>4</v>
      </c>
      <c r="B6" s="7">
        <v>4</v>
      </c>
      <c r="C6" t="str">
        <f>VLOOKUP(B6,_Pitch!$A$2:$B$129,2,FALSE)</f>
        <v>E-2</v>
      </c>
      <c r="D6" s="14"/>
      <c r="E6" s="14"/>
      <c r="F6" s="14"/>
    </row>
    <row r="7" spans="1:7">
      <c r="A7" s="7">
        <v>5</v>
      </c>
      <c r="B7" s="7">
        <v>5</v>
      </c>
      <c r="C7" t="str">
        <f>VLOOKUP(B7,_Pitch!$A$2:$B$129,2,FALSE)</f>
        <v>F-2</v>
      </c>
      <c r="D7" s="14"/>
      <c r="E7" s="14"/>
      <c r="F7" s="14"/>
    </row>
    <row r="8" spans="1:7">
      <c r="A8" s="7">
        <v>6</v>
      </c>
      <c r="B8" s="7">
        <v>6</v>
      </c>
      <c r="C8" t="str">
        <f>VLOOKUP(B8,_Pitch!$A$2:$B$129,2,FALSE)</f>
        <v>F#-2</v>
      </c>
      <c r="D8" s="14"/>
      <c r="E8" s="14"/>
      <c r="F8" s="14"/>
    </row>
    <row r="9" spans="1:7">
      <c r="A9" s="7">
        <v>7</v>
      </c>
      <c r="B9" s="7">
        <v>7</v>
      </c>
      <c r="C9" t="str">
        <f>VLOOKUP(B9,_Pitch!$A$2:$B$129,2,FALSE)</f>
        <v>G-2</v>
      </c>
      <c r="D9" s="14"/>
      <c r="E9" s="14"/>
      <c r="F9" s="14"/>
    </row>
    <row r="10" spans="1:7">
      <c r="A10" s="7">
        <v>8</v>
      </c>
      <c r="B10" s="7">
        <v>8</v>
      </c>
      <c r="C10" t="str">
        <f>VLOOKUP(B10,_Pitch!$A$2:$B$129,2,FALSE)</f>
        <v>G#-2</v>
      </c>
      <c r="D10" s="14"/>
      <c r="E10" s="14"/>
      <c r="F10" s="14"/>
    </row>
    <row r="11" spans="1:7">
      <c r="A11" s="7">
        <v>9</v>
      </c>
      <c r="B11" s="7">
        <v>9</v>
      </c>
      <c r="C11" t="str">
        <f>VLOOKUP(B11,_Pitch!$A$2:$B$129,2,FALSE)</f>
        <v>A-2</v>
      </c>
      <c r="D11" s="14"/>
      <c r="E11" s="14"/>
      <c r="F11" s="14"/>
    </row>
    <row r="12" spans="1:7">
      <c r="A12" s="7">
        <v>10</v>
      </c>
      <c r="B12" s="7">
        <v>10</v>
      </c>
      <c r="C12" t="str">
        <f>VLOOKUP(B12,_Pitch!$A$2:$B$129,2,FALSE)</f>
        <v>A#-2</v>
      </c>
      <c r="D12" s="14"/>
      <c r="E12" s="14"/>
      <c r="F12" s="14"/>
    </row>
    <row r="13" spans="1:7">
      <c r="A13" s="7">
        <v>11</v>
      </c>
      <c r="B13" s="7">
        <v>11</v>
      </c>
      <c r="C13" t="str">
        <f>VLOOKUP(B13,_Pitch!$A$2:$B$129,2,FALSE)</f>
        <v>B-2</v>
      </c>
      <c r="D13" s="14"/>
      <c r="E13" s="14"/>
      <c r="F13" s="14"/>
    </row>
    <row r="14" spans="1:7">
      <c r="A14" s="7">
        <v>12</v>
      </c>
      <c r="B14" s="7">
        <v>12</v>
      </c>
      <c r="C14" t="str">
        <f>VLOOKUP(B14,_Pitch!$A$2:$B$129,2,FALSE)</f>
        <v>C-1</v>
      </c>
      <c r="D14" s="14"/>
      <c r="E14" s="14"/>
      <c r="F14" s="14"/>
    </row>
    <row r="15" spans="1:7">
      <c r="A15" s="7">
        <v>13</v>
      </c>
      <c r="B15" s="7">
        <v>13</v>
      </c>
      <c r="C15" t="str">
        <f>VLOOKUP(B15,_Pitch!$A$2:$B$129,2,FALSE)</f>
        <v>C#-1</v>
      </c>
      <c r="D15" s="14"/>
      <c r="E15" s="14"/>
      <c r="F15" s="14"/>
    </row>
    <row r="16" spans="1:7">
      <c r="A16" s="7">
        <v>14</v>
      </c>
      <c r="B16" s="7">
        <v>14</v>
      </c>
      <c r="C16" t="str">
        <f>VLOOKUP(B16,_Pitch!$A$2:$B$129,2,FALSE)</f>
        <v>D-1</v>
      </c>
      <c r="D16" s="14"/>
      <c r="E16" s="14"/>
      <c r="F16" s="14"/>
    </row>
    <row r="17" spans="1:6">
      <c r="A17" s="7">
        <v>15</v>
      </c>
      <c r="B17" s="7">
        <v>15</v>
      </c>
      <c r="C17" t="str">
        <f>VLOOKUP(B17,_Pitch!$A$2:$B$129,2,FALSE)</f>
        <v>D#-1</v>
      </c>
      <c r="D17" s="14"/>
      <c r="E17" s="14"/>
      <c r="F17" s="14"/>
    </row>
    <row r="18" spans="1:6">
      <c r="A18" s="7">
        <v>16</v>
      </c>
      <c r="B18" s="7">
        <v>16</v>
      </c>
      <c r="C18" t="str">
        <f>VLOOKUP(B18,_Pitch!$A$2:$B$129,2,FALSE)</f>
        <v>E-1</v>
      </c>
      <c r="D18" s="14"/>
      <c r="E18" s="14"/>
      <c r="F18" s="14"/>
    </row>
    <row r="19" spans="1:6">
      <c r="A19" s="7">
        <v>17</v>
      </c>
      <c r="B19" s="7">
        <v>17</v>
      </c>
      <c r="C19" t="str">
        <f>VLOOKUP(B19,_Pitch!$A$2:$B$129,2,FALSE)</f>
        <v>F-1</v>
      </c>
      <c r="D19" s="14"/>
      <c r="E19" s="14"/>
      <c r="F19" s="14"/>
    </row>
    <row r="20" spans="1:6">
      <c r="A20" s="7">
        <v>18</v>
      </c>
      <c r="B20" s="7">
        <v>18</v>
      </c>
      <c r="C20" t="str">
        <f>VLOOKUP(B20,_Pitch!$A$2:$B$129,2,FALSE)</f>
        <v>F#-1</v>
      </c>
      <c r="D20" s="14"/>
      <c r="E20" s="14"/>
      <c r="F20" s="14"/>
    </row>
    <row r="21" spans="1:6">
      <c r="A21" s="7">
        <v>19</v>
      </c>
      <c r="B21" s="7">
        <v>19</v>
      </c>
      <c r="C21" t="str">
        <f>VLOOKUP(B21,_Pitch!$A$2:$B$129,2,FALSE)</f>
        <v>G-1</v>
      </c>
      <c r="D21" s="14"/>
      <c r="E21" s="14"/>
      <c r="F21" s="14"/>
    </row>
    <row r="22" spans="1:6">
      <c r="A22" s="7">
        <v>20</v>
      </c>
      <c r="B22" s="7">
        <v>20</v>
      </c>
      <c r="C22" t="str">
        <f>VLOOKUP(B22,_Pitch!$A$2:$B$129,2,FALSE)</f>
        <v>G#-1</v>
      </c>
      <c r="D22" s="14"/>
      <c r="E22" s="14"/>
      <c r="F22" s="14"/>
    </row>
    <row r="23" spans="1:6">
      <c r="A23" s="7">
        <v>21</v>
      </c>
      <c r="B23" s="7">
        <v>21</v>
      </c>
      <c r="C23" t="str">
        <f>VLOOKUP(B23,_Pitch!$A$2:$B$129,2,FALSE)</f>
        <v>A-1</v>
      </c>
      <c r="D23" s="14" t="s">
        <v>697</v>
      </c>
      <c r="E23" s="14"/>
      <c r="F23" s="14"/>
    </row>
    <row r="24" spans="1:6">
      <c r="A24" s="7">
        <v>22</v>
      </c>
      <c r="B24" s="7">
        <v>22</v>
      </c>
      <c r="C24" t="str">
        <f>VLOOKUP(B24,_Pitch!$A$2:$B$129,2,FALSE)</f>
        <v>A#-1</v>
      </c>
      <c r="D24" s="14"/>
      <c r="E24" s="14"/>
      <c r="F24" s="14"/>
    </row>
    <row r="25" spans="1:6">
      <c r="A25" s="7">
        <v>23</v>
      </c>
      <c r="B25" s="7">
        <v>23</v>
      </c>
      <c r="C25" t="str">
        <f>VLOOKUP(B25,_Pitch!$A$2:$B$129,2,FALSE)</f>
        <v>B-1</v>
      </c>
      <c r="D25" s="14"/>
      <c r="E25" s="14"/>
      <c r="F25" s="14"/>
    </row>
    <row r="26" spans="1:6">
      <c r="A26" s="7">
        <v>24</v>
      </c>
      <c r="B26" s="7">
        <v>24</v>
      </c>
      <c r="C26" t="str">
        <f>VLOOKUP(B26,_Pitch!$A$2:$B$129,2,FALSE)</f>
        <v>C0</v>
      </c>
      <c r="D26" s="14"/>
      <c r="E26" s="14"/>
      <c r="F26" s="14"/>
    </row>
    <row r="27" spans="1:6">
      <c r="A27" s="7">
        <v>25</v>
      </c>
      <c r="B27" s="7">
        <v>25</v>
      </c>
      <c r="C27" t="str">
        <f>VLOOKUP(B27,_Pitch!$A$2:$B$129,2,FALSE)</f>
        <v>C#0</v>
      </c>
      <c r="D27" s="14"/>
      <c r="E27" s="14"/>
      <c r="F27" s="14"/>
    </row>
    <row r="28" spans="1:6">
      <c r="A28" s="7">
        <v>26</v>
      </c>
      <c r="B28" s="7">
        <v>26</v>
      </c>
      <c r="C28" t="str">
        <f>VLOOKUP(B28,_Pitch!$A$2:$B$129,2,FALSE)</f>
        <v>D0</v>
      </c>
      <c r="D28" s="14"/>
      <c r="E28" s="14"/>
      <c r="F28" s="14"/>
    </row>
    <row r="29" spans="1:6">
      <c r="A29" s="7">
        <v>27</v>
      </c>
      <c r="B29" s="7">
        <v>27</v>
      </c>
      <c r="C29" t="str">
        <f>VLOOKUP(B29,_Pitch!$A$2:$B$129,2,FALSE)</f>
        <v>D#0</v>
      </c>
      <c r="D29" s="14"/>
      <c r="E29" s="14"/>
      <c r="F29" s="14"/>
    </row>
    <row r="30" spans="1:6">
      <c r="A30" s="7">
        <v>28</v>
      </c>
      <c r="B30" s="7">
        <v>28</v>
      </c>
      <c r="C30" t="str">
        <f>VLOOKUP(B30,_Pitch!$A$2:$B$129,2,FALSE)</f>
        <v>E0</v>
      </c>
      <c r="D30" s="14"/>
      <c r="E30" s="14"/>
      <c r="F30" s="14"/>
    </row>
    <row r="31" spans="1:6">
      <c r="A31" s="7">
        <v>29</v>
      </c>
      <c r="B31" s="7">
        <v>29</v>
      </c>
      <c r="C31" t="str">
        <f>VLOOKUP(B31,_Pitch!$A$2:$B$129,2,FALSE)</f>
        <v>F0</v>
      </c>
      <c r="D31" s="14"/>
      <c r="E31" s="14"/>
      <c r="F31" s="14"/>
    </row>
    <row r="32" spans="1:6">
      <c r="A32" s="7">
        <v>30</v>
      </c>
      <c r="B32" s="7">
        <v>30</v>
      </c>
      <c r="C32" t="str">
        <f>VLOOKUP(B32,_Pitch!$A$2:$B$129,2,FALSE)</f>
        <v>F#0</v>
      </c>
      <c r="D32" s="14" t="s">
        <v>698</v>
      </c>
      <c r="E32" s="14"/>
      <c r="F32" s="14"/>
    </row>
    <row r="33" spans="1:6">
      <c r="A33" s="7">
        <v>31</v>
      </c>
      <c r="B33" s="7">
        <v>31</v>
      </c>
      <c r="C33" t="str">
        <f>VLOOKUP(B33,_Pitch!$A$2:$B$129,2,FALSE)</f>
        <v>G0</v>
      </c>
      <c r="D33" s="14" t="s">
        <v>330</v>
      </c>
      <c r="E33" s="14"/>
      <c r="F33" s="14"/>
    </row>
    <row r="34" spans="1:6">
      <c r="A34" s="7">
        <v>32</v>
      </c>
      <c r="B34" s="7">
        <v>32</v>
      </c>
      <c r="C34" t="str">
        <f>VLOOKUP(B34,_Pitch!$A$2:$B$129,2,FALSE)</f>
        <v>G#0</v>
      </c>
      <c r="D34" s="14" t="s">
        <v>699</v>
      </c>
      <c r="E34" s="14"/>
      <c r="F34" s="14"/>
    </row>
    <row r="35" spans="1:6">
      <c r="A35" s="7">
        <v>33</v>
      </c>
      <c r="B35" s="7">
        <v>33</v>
      </c>
      <c r="C35" t="str">
        <f>VLOOKUP(B35,_Pitch!$A$2:$B$129,2,FALSE)</f>
        <v>A0</v>
      </c>
      <c r="D35" s="14" t="s">
        <v>697</v>
      </c>
      <c r="E35" s="14"/>
      <c r="F35" s="14"/>
    </row>
    <row r="36" spans="1:6">
      <c r="A36" s="7">
        <v>34</v>
      </c>
      <c r="B36" s="7">
        <v>34</v>
      </c>
      <c r="C36" t="str">
        <f>VLOOKUP(B36,_Pitch!$A$2:$B$129,2,FALSE)</f>
        <v>A#0</v>
      </c>
      <c r="D36" s="14" t="s">
        <v>700</v>
      </c>
      <c r="E36" s="14"/>
      <c r="F36" s="14"/>
    </row>
    <row r="37" spans="1:6">
      <c r="A37" s="7">
        <v>35</v>
      </c>
      <c r="B37" s="7">
        <v>35</v>
      </c>
      <c r="C37" t="str">
        <f>VLOOKUP(B37,_Pitch!$A$2:$B$129,2,FALSE)</f>
        <v>B0</v>
      </c>
      <c r="D37" s="14" t="s">
        <v>231</v>
      </c>
      <c r="E37" s="14"/>
      <c r="F37" s="14"/>
    </row>
    <row r="38" spans="1:6">
      <c r="A38" s="7">
        <v>36</v>
      </c>
      <c r="B38" s="7">
        <v>36</v>
      </c>
      <c r="C38" t="str">
        <f>VLOOKUP(B38,_Pitch!$A$2:$B$129,2,FALSE)</f>
        <v>C1</v>
      </c>
      <c r="D38" s="14" t="s">
        <v>231</v>
      </c>
      <c r="E38" s="14" t="s">
        <v>133</v>
      </c>
      <c r="F38" s="14"/>
    </row>
    <row r="39" spans="1:6">
      <c r="A39" s="7">
        <v>37</v>
      </c>
      <c r="B39" s="7">
        <v>37</v>
      </c>
      <c r="C39" t="str">
        <f>VLOOKUP(B39,_Pitch!$A$2:$B$129,2,FALSE)</f>
        <v>C#1</v>
      </c>
      <c r="D39" s="14" t="s">
        <v>701</v>
      </c>
      <c r="E39" s="14" t="s">
        <v>145</v>
      </c>
      <c r="F39" s="14"/>
    </row>
    <row r="40" spans="1:6">
      <c r="A40" s="7">
        <v>38</v>
      </c>
      <c r="B40" s="7">
        <v>38</v>
      </c>
      <c r="C40" t="str">
        <f>VLOOKUP(B40,_Pitch!$A$2:$B$129,2,FALSE)</f>
        <v>D1</v>
      </c>
      <c r="D40" s="14" t="s">
        <v>561</v>
      </c>
      <c r="E40" s="14" t="s">
        <v>561</v>
      </c>
      <c r="F40" s="14"/>
    </row>
    <row r="41" spans="1:6">
      <c r="A41" s="7">
        <v>39</v>
      </c>
      <c r="B41" s="7">
        <v>39</v>
      </c>
      <c r="C41" t="str">
        <f>VLOOKUP(B41,_Pitch!$A$2:$B$129,2,FALSE)</f>
        <v>D#1</v>
      </c>
      <c r="D41" s="14" t="s">
        <v>702</v>
      </c>
      <c r="E41" s="14"/>
      <c r="F41" s="14"/>
    </row>
    <row r="42" spans="1:6">
      <c r="A42" s="7">
        <v>40</v>
      </c>
      <c r="B42" s="7">
        <v>40</v>
      </c>
      <c r="C42" t="str">
        <f>VLOOKUP(B42,_Pitch!$A$2:$B$129,2,FALSE)</f>
        <v>E1</v>
      </c>
      <c r="D42" s="14" t="s">
        <v>703</v>
      </c>
      <c r="E42" s="14" t="s">
        <v>1077</v>
      </c>
      <c r="F42" s="14"/>
    </row>
    <row r="43" spans="1:6">
      <c r="A43" s="7">
        <v>41</v>
      </c>
      <c r="B43" s="7">
        <v>41</v>
      </c>
      <c r="C43" t="str">
        <f>VLOOKUP(B43,_Pitch!$A$2:$B$129,2,FALSE)</f>
        <v>F1</v>
      </c>
      <c r="D43" s="14" t="s">
        <v>707</v>
      </c>
      <c r="E43" s="14" t="s">
        <v>557</v>
      </c>
      <c r="F43" s="14"/>
    </row>
    <row r="44" spans="1:6">
      <c r="A44" s="7">
        <v>42</v>
      </c>
      <c r="B44" s="7">
        <v>42</v>
      </c>
      <c r="C44" t="str">
        <f>VLOOKUP(B44,_Pitch!$A$2:$B$129,2,FALSE)</f>
        <v>F#1</v>
      </c>
      <c r="D44" s="14" t="s">
        <v>705</v>
      </c>
      <c r="E44" s="14" t="s">
        <v>153</v>
      </c>
      <c r="F44" s="14"/>
    </row>
    <row r="45" spans="1:6">
      <c r="A45" s="7">
        <v>43</v>
      </c>
      <c r="B45" s="7">
        <v>43</v>
      </c>
      <c r="C45" t="str">
        <f>VLOOKUP(B45,_Pitch!$A$2:$B$129,2,FALSE)</f>
        <v>G1</v>
      </c>
      <c r="D45" s="14" t="s">
        <v>707</v>
      </c>
      <c r="E45" s="14" t="s">
        <v>557</v>
      </c>
      <c r="F45" s="14" t="s">
        <v>290</v>
      </c>
    </row>
    <row r="46" spans="1:6">
      <c r="A46" s="7">
        <v>44</v>
      </c>
      <c r="B46" s="7">
        <v>44</v>
      </c>
      <c r="C46" t="str">
        <f>VLOOKUP(B46,_Pitch!$A$2:$B$129,2,FALSE)</f>
        <v>G#1</v>
      </c>
      <c r="D46" s="14" t="s">
        <v>699</v>
      </c>
      <c r="E46" s="14" t="s">
        <v>403</v>
      </c>
      <c r="F46" s="14"/>
    </row>
    <row r="47" spans="1:6">
      <c r="A47" s="7">
        <v>45</v>
      </c>
      <c r="B47" s="7">
        <v>45</v>
      </c>
      <c r="C47" t="str">
        <f>VLOOKUP(B47,_Pitch!$A$2:$B$129,2,FALSE)</f>
        <v>A1</v>
      </c>
      <c r="D47" s="14" t="s">
        <v>709</v>
      </c>
      <c r="E47" s="14" t="s">
        <v>558</v>
      </c>
      <c r="F47" s="14"/>
    </row>
    <row r="48" spans="1:6">
      <c r="A48" s="7">
        <v>46</v>
      </c>
      <c r="B48" s="7">
        <v>46</v>
      </c>
      <c r="C48" t="str">
        <f>VLOOKUP(B48,_Pitch!$A$2:$B$129,2,FALSE)</f>
        <v>A#1</v>
      </c>
      <c r="D48" s="14" t="s">
        <v>708</v>
      </c>
      <c r="E48" s="14" t="s">
        <v>164</v>
      </c>
      <c r="F48" s="14"/>
    </row>
    <row r="49" spans="1:6">
      <c r="A49" s="7">
        <v>47</v>
      </c>
      <c r="B49" s="7">
        <v>47</v>
      </c>
      <c r="C49" t="str">
        <f>VLOOKUP(B49,_Pitch!$A$2:$B$129,2,FALSE)</f>
        <v>B1</v>
      </c>
      <c r="D49" s="14" t="s">
        <v>709</v>
      </c>
      <c r="E49" s="14" t="s">
        <v>558</v>
      </c>
      <c r="F49" s="14" t="s">
        <v>290</v>
      </c>
    </row>
    <row r="50" spans="1:6">
      <c r="A50" s="7">
        <v>48</v>
      </c>
      <c r="B50" s="7">
        <v>48</v>
      </c>
      <c r="C50" t="str">
        <f>VLOOKUP(B50,_Pitch!$A$2:$B$129,2,FALSE)</f>
        <v>C2</v>
      </c>
      <c r="D50" s="14" t="s">
        <v>710</v>
      </c>
      <c r="E50" s="14" t="s">
        <v>560</v>
      </c>
      <c r="F50" s="14"/>
    </row>
    <row r="51" spans="1:6">
      <c r="A51" s="7">
        <v>49</v>
      </c>
      <c r="B51" s="7">
        <v>49</v>
      </c>
      <c r="C51" t="str">
        <f>VLOOKUP(B51,_Pitch!$A$2:$B$129,2,FALSE)</f>
        <v>C#2</v>
      </c>
      <c r="D51" s="14" t="s">
        <v>711</v>
      </c>
      <c r="E51" s="14" t="s">
        <v>568</v>
      </c>
      <c r="F51" s="14"/>
    </row>
    <row r="52" spans="1:6">
      <c r="A52" s="7">
        <v>50</v>
      </c>
      <c r="B52" s="7">
        <v>50</v>
      </c>
      <c r="C52" t="str">
        <f>VLOOKUP(B52,_Pitch!$A$2:$B$129,2,FALSE)</f>
        <v>D2</v>
      </c>
      <c r="D52" s="14" t="s">
        <v>710</v>
      </c>
      <c r="E52" s="14" t="s">
        <v>560</v>
      </c>
      <c r="F52" s="14" t="s">
        <v>290</v>
      </c>
    </row>
    <row r="53" spans="1:6">
      <c r="A53" s="7">
        <v>51</v>
      </c>
      <c r="B53" s="7">
        <v>51</v>
      </c>
      <c r="C53" t="str">
        <f>VLOOKUP(B53,_Pitch!$A$2:$B$129,2,FALSE)</f>
        <v>D#2</v>
      </c>
      <c r="D53" s="14" t="s">
        <v>712</v>
      </c>
      <c r="E53" s="14" t="s">
        <v>179</v>
      </c>
      <c r="F53" s="14"/>
    </row>
    <row r="54" spans="1:6">
      <c r="A54" s="7">
        <v>52</v>
      </c>
      <c r="B54" s="7">
        <v>52</v>
      </c>
      <c r="C54" t="str">
        <f>VLOOKUP(B54,_Pitch!$A$2:$B$129,2,FALSE)</f>
        <v>E2</v>
      </c>
      <c r="D54" s="14" t="s">
        <v>905</v>
      </c>
      <c r="E54" s="14" t="s">
        <v>905</v>
      </c>
      <c r="F54" s="14"/>
    </row>
    <row r="55" spans="1:6">
      <c r="A55" s="7">
        <v>53</v>
      </c>
      <c r="B55" s="7">
        <v>53</v>
      </c>
      <c r="C55" t="str">
        <f>VLOOKUP(B55,_Pitch!$A$2:$B$129,2,FALSE)</f>
        <v>F2</v>
      </c>
      <c r="D55" s="14" t="s">
        <v>713</v>
      </c>
      <c r="E55" s="14" t="s">
        <v>181</v>
      </c>
      <c r="F55" s="14"/>
    </row>
    <row r="56" spans="1:6">
      <c r="A56" s="7">
        <v>54</v>
      </c>
      <c r="B56" s="7">
        <v>54</v>
      </c>
      <c r="C56" t="str">
        <f>VLOOKUP(B56,_Pitch!$A$2:$B$129,2,FALSE)</f>
        <v>F#2</v>
      </c>
      <c r="D56" s="14" t="s">
        <v>264</v>
      </c>
      <c r="E56" s="14"/>
      <c r="F56" s="14"/>
    </row>
    <row r="57" spans="1:6">
      <c r="A57" s="7">
        <v>55</v>
      </c>
      <c r="B57" s="7">
        <v>55</v>
      </c>
      <c r="C57" t="str">
        <f>VLOOKUP(B57,_Pitch!$A$2:$B$129,2,FALSE)</f>
        <v>G2</v>
      </c>
      <c r="D57" s="14" t="s">
        <v>904</v>
      </c>
      <c r="E57" s="14" t="s">
        <v>904</v>
      </c>
      <c r="F57" s="14"/>
    </row>
    <row r="58" spans="1:6">
      <c r="A58" s="7">
        <v>56</v>
      </c>
      <c r="B58" s="7">
        <v>56</v>
      </c>
      <c r="C58" t="str">
        <f>VLOOKUP(B58,_Pitch!$A$2:$B$129,2,FALSE)</f>
        <v>G#2</v>
      </c>
      <c r="D58" s="14" t="s">
        <v>714</v>
      </c>
      <c r="E58" s="14"/>
      <c r="F58" s="14"/>
    </row>
    <row r="59" spans="1:6">
      <c r="A59" s="7">
        <v>57</v>
      </c>
      <c r="B59" s="7">
        <v>57</v>
      </c>
      <c r="C59" t="str">
        <f>VLOOKUP(B59,_Pitch!$A$2:$B$129,2,FALSE)</f>
        <v>A2</v>
      </c>
      <c r="D59" s="14" t="s">
        <v>715</v>
      </c>
      <c r="E59" s="14" t="s">
        <v>569</v>
      </c>
      <c r="F59" s="14"/>
    </row>
    <row r="60" spans="1:6">
      <c r="A60" s="7">
        <v>58</v>
      </c>
      <c r="B60" s="7">
        <v>58</v>
      </c>
      <c r="C60" t="str">
        <f>VLOOKUP(B60,_Pitch!$A$2:$B$129,2,FALSE)</f>
        <v>A#2</v>
      </c>
      <c r="D60" s="14" t="s">
        <v>716</v>
      </c>
      <c r="E60" s="14"/>
      <c r="F60" s="14"/>
    </row>
    <row r="61" spans="1:6">
      <c r="A61" s="7">
        <v>59</v>
      </c>
      <c r="B61" s="7">
        <v>59</v>
      </c>
      <c r="C61" t="str">
        <f>VLOOKUP(B61,_Pitch!$A$2:$B$129,2,FALSE)</f>
        <v>B2</v>
      </c>
      <c r="D61" s="14" t="s">
        <v>717</v>
      </c>
      <c r="E61" s="14" t="s">
        <v>182</v>
      </c>
      <c r="F61" s="14"/>
    </row>
    <row r="62" spans="1:6">
      <c r="A62" s="7">
        <v>60</v>
      </c>
      <c r="B62" s="7">
        <v>60</v>
      </c>
      <c r="C62" t="str">
        <f>VLOOKUP(B62,_Pitch!$A$2:$B$129,2,FALSE)</f>
        <v>C3</v>
      </c>
      <c r="D62" s="14" t="s">
        <v>699</v>
      </c>
      <c r="E62" s="14" t="s">
        <v>403</v>
      </c>
      <c r="F62" s="14" t="s">
        <v>290</v>
      </c>
    </row>
    <row r="63" spans="1:6">
      <c r="A63" s="7">
        <v>61</v>
      </c>
      <c r="B63" s="7">
        <v>61</v>
      </c>
      <c r="C63" t="str">
        <f>VLOOKUP(B63,_Pitch!$A$2:$B$129,2,FALSE)</f>
        <v>C#3</v>
      </c>
      <c r="D63" s="14" t="s">
        <v>697</v>
      </c>
      <c r="E63" s="14" t="s">
        <v>403</v>
      </c>
      <c r="F63" s="14" t="s">
        <v>290</v>
      </c>
    </row>
    <row r="64" spans="1:6">
      <c r="A64" s="7">
        <v>62</v>
      </c>
      <c r="B64" s="7">
        <v>62</v>
      </c>
      <c r="C64" t="str">
        <f>VLOOKUP(B64,_Pitch!$A$2:$B$129,2,FALSE)</f>
        <v>D3</v>
      </c>
      <c r="D64" s="14" t="s">
        <v>698</v>
      </c>
      <c r="E64" s="14" t="s">
        <v>149</v>
      </c>
      <c r="F64" s="14"/>
    </row>
    <row r="65" spans="1:6">
      <c r="A65" s="7">
        <v>63</v>
      </c>
      <c r="B65" s="7">
        <v>63</v>
      </c>
      <c r="C65" t="str">
        <f>VLOOKUP(B65,_Pitch!$A$2:$B$129,2,FALSE)</f>
        <v>D#3</v>
      </c>
      <c r="D65" s="14"/>
      <c r="E65" s="14"/>
      <c r="F65" s="14"/>
    </row>
    <row r="66" spans="1:6">
      <c r="A66" s="7">
        <v>64</v>
      </c>
      <c r="B66" s="7">
        <v>64</v>
      </c>
      <c r="C66" t="str">
        <f>VLOOKUP(B66,_Pitch!$A$2:$B$129,2,FALSE)</f>
        <v>E3</v>
      </c>
      <c r="D66" s="14" t="s">
        <v>718</v>
      </c>
      <c r="E66" s="14" t="s">
        <v>159</v>
      </c>
      <c r="F66" s="14"/>
    </row>
    <row r="67" spans="1:6">
      <c r="A67" s="7">
        <v>65</v>
      </c>
      <c r="B67" s="7">
        <v>65</v>
      </c>
      <c r="C67" t="str">
        <f>VLOOKUP(B67,_Pitch!$A$2:$B$129,2,FALSE)</f>
        <v>F3</v>
      </c>
      <c r="D67" s="14" t="s">
        <v>719</v>
      </c>
      <c r="E67" s="14" t="s">
        <v>160</v>
      </c>
      <c r="F67" s="14"/>
    </row>
    <row r="68" spans="1:6">
      <c r="A68" s="7">
        <v>66</v>
      </c>
      <c r="B68" s="7">
        <v>66</v>
      </c>
      <c r="C68" t="str">
        <f>VLOOKUP(B68,_Pitch!$A$2:$B$129,2,FALSE)</f>
        <v>F#3</v>
      </c>
      <c r="D68" s="14"/>
      <c r="E68" s="14"/>
      <c r="F68" s="14"/>
    </row>
    <row r="69" spans="1:6">
      <c r="A69" s="7">
        <v>67</v>
      </c>
      <c r="B69" s="7">
        <v>67</v>
      </c>
      <c r="C69" t="str">
        <f>VLOOKUP(B69,_Pitch!$A$2:$B$129,2,FALSE)</f>
        <v>G3</v>
      </c>
      <c r="D69" s="14" t="s">
        <v>720</v>
      </c>
      <c r="E69" s="14" t="s">
        <v>161</v>
      </c>
      <c r="F69" s="14"/>
    </row>
    <row r="70" spans="1:6">
      <c r="A70" s="7">
        <v>68</v>
      </c>
      <c r="B70" s="7">
        <v>68</v>
      </c>
      <c r="C70" t="str">
        <f>VLOOKUP(B70,_Pitch!$A$2:$B$129,2,FALSE)</f>
        <v>G#3</v>
      </c>
      <c r="D70" s="14"/>
      <c r="E70" s="14"/>
      <c r="F70" s="14"/>
    </row>
    <row r="71" spans="1:6">
      <c r="A71" s="7">
        <v>69</v>
      </c>
      <c r="B71" s="7">
        <v>69</v>
      </c>
      <c r="C71" t="str">
        <f>VLOOKUP(B71,_Pitch!$A$2:$B$129,2,FALSE)</f>
        <v>A3</v>
      </c>
      <c r="D71" s="14" t="s">
        <v>721</v>
      </c>
      <c r="E71" s="14" t="s">
        <v>162</v>
      </c>
      <c r="F71" s="14"/>
    </row>
    <row r="72" spans="1:6">
      <c r="A72" s="7">
        <v>70</v>
      </c>
      <c r="B72" s="7">
        <v>70</v>
      </c>
      <c r="C72" t="str">
        <f>VLOOKUP(B72,_Pitch!$A$2:$B$129,2,FALSE)</f>
        <v>A#3</v>
      </c>
      <c r="D72" s="14"/>
      <c r="E72" s="14"/>
      <c r="F72" s="14"/>
    </row>
    <row r="73" spans="1:6">
      <c r="A73" s="7">
        <v>71</v>
      </c>
      <c r="B73" s="7">
        <v>71</v>
      </c>
      <c r="C73" t="str">
        <f>VLOOKUP(B73,_Pitch!$A$2:$B$129,2,FALSE)</f>
        <v>B3</v>
      </c>
      <c r="D73" s="14" t="s">
        <v>722</v>
      </c>
      <c r="E73" s="14" t="s">
        <v>163</v>
      </c>
      <c r="F73" s="14"/>
    </row>
    <row r="74" spans="1:6">
      <c r="A74" s="7">
        <v>72</v>
      </c>
      <c r="B74" s="7">
        <v>72</v>
      </c>
      <c r="C74" t="str">
        <f>VLOOKUP(B74,_Pitch!$A$2:$B$129,2,FALSE)</f>
        <v>C4</v>
      </c>
      <c r="D74" s="14" t="s">
        <v>699</v>
      </c>
      <c r="E74" s="14" t="s">
        <v>403</v>
      </c>
      <c r="F74" s="14" t="s">
        <v>290</v>
      </c>
    </row>
    <row r="75" spans="1:6">
      <c r="A75" s="7">
        <v>73</v>
      </c>
      <c r="B75" s="7">
        <v>73</v>
      </c>
      <c r="C75" t="str">
        <f>VLOOKUP(B75,_Pitch!$A$2:$B$129,2,FALSE)</f>
        <v>C#4</v>
      </c>
      <c r="D75" s="14" t="s">
        <v>697</v>
      </c>
      <c r="E75" s="14" t="s">
        <v>1068</v>
      </c>
      <c r="F75" s="14"/>
    </row>
    <row r="76" spans="1:6">
      <c r="A76" s="7">
        <v>74</v>
      </c>
      <c r="B76" s="7">
        <v>74</v>
      </c>
      <c r="C76" t="str">
        <f>VLOOKUP(B76,_Pitch!$A$2:$B$129,2,FALSE)</f>
        <v>D4</v>
      </c>
      <c r="D76" s="14" t="s">
        <v>705</v>
      </c>
      <c r="E76" s="14"/>
      <c r="F76" s="14"/>
    </row>
    <row r="77" spans="1:6">
      <c r="A77" s="7">
        <v>75</v>
      </c>
      <c r="B77" s="7">
        <v>75</v>
      </c>
      <c r="C77" t="str">
        <f>VLOOKUP(B77,_Pitch!$A$2:$B$129,2,FALSE)</f>
        <v>D#4</v>
      </c>
      <c r="D77" s="14"/>
      <c r="E77" s="14"/>
      <c r="F77" s="14"/>
    </row>
    <row r="78" spans="1:6">
      <c r="A78" s="7">
        <v>76</v>
      </c>
      <c r="B78" s="7">
        <v>76</v>
      </c>
      <c r="C78" t="str">
        <f>VLOOKUP(B78,_Pitch!$A$2:$B$129,2,FALSE)</f>
        <v>E4</v>
      </c>
      <c r="D78" s="14" t="s">
        <v>723</v>
      </c>
      <c r="E78" s="14" t="s">
        <v>165</v>
      </c>
      <c r="F78" s="14" t="s">
        <v>290</v>
      </c>
    </row>
    <row r="79" spans="1:6">
      <c r="A79" s="7">
        <v>77</v>
      </c>
      <c r="B79" s="7">
        <v>77</v>
      </c>
      <c r="C79" t="str">
        <f>VLOOKUP(B79,_Pitch!$A$2:$B$129,2,FALSE)</f>
        <v>F4</v>
      </c>
      <c r="D79" s="14" t="s">
        <v>724</v>
      </c>
      <c r="E79" s="14" t="s">
        <v>166</v>
      </c>
      <c r="F79" s="14"/>
    </row>
    <row r="80" spans="1:6">
      <c r="A80" s="7">
        <v>78</v>
      </c>
      <c r="B80" s="7">
        <v>78</v>
      </c>
      <c r="C80" t="str">
        <f>VLOOKUP(B80,_Pitch!$A$2:$B$129,2,FALSE)</f>
        <v>F#4</v>
      </c>
      <c r="D80" s="14"/>
      <c r="E80" s="14"/>
      <c r="F80" s="14"/>
    </row>
    <row r="81" spans="1:6">
      <c r="A81" s="7">
        <v>79</v>
      </c>
      <c r="B81" s="7">
        <v>79</v>
      </c>
      <c r="C81" t="str">
        <f>VLOOKUP(B81,_Pitch!$A$2:$B$129,2,FALSE)</f>
        <v>G4</v>
      </c>
      <c r="D81" s="14" t="s">
        <v>725</v>
      </c>
      <c r="E81" s="14" t="s">
        <v>167</v>
      </c>
      <c r="F81" s="14"/>
    </row>
    <row r="82" spans="1:6">
      <c r="A82" s="7">
        <v>80</v>
      </c>
      <c r="B82" s="7">
        <v>80</v>
      </c>
      <c r="C82" t="str">
        <f>VLOOKUP(B82,_Pitch!$A$2:$B$129,2,FALSE)</f>
        <v>G#4</v>
      </c>
      <c r="D82" s="14"/>
      <c r="E82" s="14"/>
      <c r="F82" s="14"/>
    </row>
    <row r="83" spans="1:6">
      <c r="A83" s="7">
        <v>81</v>
      </c>
      <c r="B83" s="7">
        <v>81</v>
      </c>
      <c r="C83" t="str">
        <f>VLOOKUP(B83,_Pitch!$A$2:$B$129,2,FALSE)</f>
        <v>A4</v>
      </c>
      <c r="D83" s="14" t="s">
        <v>726</v>
      </c>
      <c r="E83" s="14" t="s">
        <v>168</v>
      </c>
      <c r="F83" s="14"/>
    </row>
    <row r="84" spans="1:6">
      <c r="A84" s="7">
        <v>82</v>
      </c>
      <c r="B84" s="7">
        <v>82</v>
      </c>
      <c r="C84" t="str">
        <f>VLOOKUP(B84,_Pitch!$A$2:$B$129,2,FALSE)</f>
        <v>A#4</v>
      </c>
      <c r="D84" s="14"/>
      <c r="E84" s="14"/>
      <c r="F84" s="14"/>
    </row>
    <row r="85" spans="1:6">
      <c r="A85" s="7">
        <v>83</v>
      </c>
      <c r="B85" s="7">
        <v>83</v>
      </c>
      <c r="C85" t="str">
        <f>VLOOKUP(B85,_Pitch!$A$2:$B$129,2,FALSE)</f>
        <v>B4</v>
      </c>
      <c r="D85" s="14" t="s">
        <v>727</v>
      </c>
      <c r="E85" s="14" t="s">
        <v>169</v>
      </c>
      <c r="F85" s="14"/>
    </row>
    <row r="86" spans="1:6">
      <c r="A86" s="7">
        <v>84</v>
      </c>
      <c r="B86" s="7">
        <v>84</v>
      </c>
      <c r="C86" t="str">
        <f>VLOOKUP(B86,_Pitch!$A$2:$B$129,2,FALSE)</f>
        <v>C5</v>
      </c>
      <c r="D86" s="14"/>
      <c r="E86" s="14"/>
      <c r="F86" s="14"/>
    </row>
    <row r="87" spans="1:6">
      <c r="A87" s="7">
        <v>85</v>
      </c>
      <c r="B87" s="7">
        <v>85</v>
      </c>
      <c r="C87" t="str">
        <f>VLOOKUP(B87,_Pitch!$A$2:$B$129,2,FALSE)</f>
        <v>C#5</v>
      </c>
      <c r="D87" s="14"/>
      <c r="E87" s="14"/>
      <c r="F87" s="14"/>
    </row>
    <row r="88" spans="1:6">
      <c r="A88" s="7">
        <v>86</v>
      </c>
      <c r="B88" s="7">
        <v>86</v>
      </c>
      <c r="C88" t="str">
        <f>VLOOKUP(B88,_Pitch!$A$2:$B$129,2,FALSE)</f>
        <v>D5</v>
      </c>
      <c r="D88" s="14"/>
      <c r="E88" s="14"/>
      <c r="F88" s="14"/>
    </row>
    <row r="89" spans="1:6">
      <c r="A89" s="7">
        <v>87</v>
      </c>
      <c r="B89" s="7">
        <v>87</v>
      </c>
      <c r="C89" t="str">
        <f>VLOOKUP(B89,_Pitch!$A$2:$B$129,2,FALSE)</f>
        <v>D#5</v>
      </c>
      <c r="D89" s="14"/>
      <c r="E89" s="14"/>
      <c r="F89" s="14"/>
    </row>
    <row r="90" spans="1:6">
      <c r="A90" s="7">
        <v>88</v>
      </c>
      <c r="B90" s="7">
        <v>88</v>
      </c>
      <c r="C90" t="str">
        <f>VLOOKUP(B90,_Pitch!$A$2:$B$129,2,FALSE)</f>
        <v>E5</v>
      </c>
      <c r="D90" s="14"/>
      <c r="E90" s="14"/>
      <c r="F90" s="14"/>
    </row>
    <row r="91" spans="1:6">
      <c r="A91" s="7">
        <v>89</v>
      </c>
      <c r="B91" s="7">
        <v>89</v>
      </c>
      <c r="C91" t="str">
        <f>VLOOKUP(B91,_Pitch!$A$2:$B$129,2,FALSE)</f>
        <v>F5</v>
      </c>
      <c r="D91" s="14"/>
      <c r="E91" s="14"/>
      <c r="F91" s="14"/>
    </row>
    <row r="92" spans="1:6">
      <c r="A92" s="7">
        <v>90</v>
      </c>
      <c r="B92" s="7">
        <v>90</v>
      </c>
      <c r="C92" t="str">
        <f>VLOOKUP(B92,_Pitch!$A$2:$B$129,2,FALSE)</f>
        <v>F#5</v>
      </c>
      <c r="D92" s="14"/>
      <c r="E92" s="14"/>
      <c r="F92" s="14"/>
    </row>
    <row r="93" spans="1:6">
      <c r="A93" s="7">
        <v>91</v>
      </c>
      <c r="B93" s="7">
        <v>91</v>
      </c>
      <c r="C93" t="str">
        <f>VLOOKUP(B93,_Pitch!$A$2:$B$129,2,FALSE)</f>
        <v>G5</v>
      </c>
      <c r="D93" s="14"/>
      <c r="E93" s="14"/>
      <c r="F93" s="14"/>
    </row>
    <row r="94" spans="1:6">
      <c r="A94" s="7">
        <v>92</v>
      </c>
      <c r="B94" s="7">
        <v>92</v>
      </c>
      <c r="C94" t="str">
        <f>VLOOKUP(B94,_Pitch!$A$2:$B$129,2,FALSE)</f>
        <v>G#5</v>
      </c>
      <c r="D94" s="14"/>
      <c r="E94" s="14"/>
      <c r="F94" s="14"/>
    </row>
    <row r="95" spans="1:6">
      <c r="A95" s="7">
        <v>93</v>
      </c>
      <c r="B95" s="7">
        <v>93</v>
      </c>
      <c r="C95" t="str">
        <f>VLOOKUP(B95,_Pitch!$A$2:$B$129,2,FALSE)</f>
        <v>A5</v>
      </c>
      <c r="D95" s="14"/>
      <c r="E95" s="14"/>
      <c r="F95" s="14"/>
    </row>
    <row r="96" spans="1:6">
      <c r="A96" s="7">
        <v>94</v>
      </c>
      <c r="B96" s="7">
        <v>94</v>
      </c>
      <c r="C96" t="str">
        <f>VLOOKUP(B96,_Pitch!$A$2:$B$129,2,FALSE)</f>
        <v>A#5</v>
      </c>
      <c r="D96" s="14"/>
      <c r="E96" s="14"/>
      <c r="F96" s="14"/>
    </row>
    <row r="97" spans="1:6">
      <c r="A97" s="7">
        <v>95</v>
      </c>
      <c r="B97" s="7">
        <v>95</v>
      </c>
      <c r="C97" t="str">
        <f>VLOOKUP(B97,_Pitch!$A$2:$B$129,2,FALSE)</f>
        <v>B5</v>
      </c>
      <c r="D97" s="14"/>
      <c r="E97" s="14"/>
      <c r="F97" s="14"/>
    </row>
    <row r="98" spans="1:6">
      <c r="A98" s="7">
        <v>96</v>
      </c>
      <c r="B98" s="7">
        <v>96</v>
      </c>
      <c r="C98" t="str">
        <f>VLOOKUP(B98,_Pitch!$A$2:$B$129,2,FALSE)</f>
        <v>C6</v>
      </c>
      <c r="D98" s="14"/>
      <c r="E98" s="14"/>
      <c r="F98" s="14"/>
    </row>
    <row r="99" spans="1:6">
      <c r="A99" s="7">
        <v>97</v>
      </c>
      <c r="B99" s="7">
        <v>97</v>
      </c>
      <c r="C99" t="str">
        <f>VLOOKUP(B99,_Pitch!$A$2:$B$129,2,FALSE)</f>
        <v>C#6</v>
      </c>
      <c r="D99" s="14"/>
      <c r="E99" s="14"/>
      <c r="F99" s="14"/>
    </row>
    <row r="100" spans="1:6">
      <c r="A100" s="7">
        <v>98</v>
      </c>
      <c r="B100" s="7">
        <v>98</v>
      </c>
      <c r="C100" t="str">
        <f>VLOOKUP(B100,_Pitch!$A$2:$B$129,2,FALSE)</f>
        <v>D6</v>
      </c>
      <c r="D100" s="14"/>
      <c r="E100" s="14"/>
      <c r="F100" s="14"/>
    </row>
    <row r="101" spans="1:6">
      <c r="A101" s="7">
        <v>99</v>
      </c>
      <c r="B101" s="7">
        <v>99</v>
      </c>
      <c r="C101" t="str">
        <f>VLOOKUP(B101,_Pitch!$A$2:$B$129,2,FALSE)</f>
        <v>D#6</v>
      </c>
      <c r="D101" s="14"/>
      <c r="E101" s="14"/>
      <c r="F101" s="14"/>
    </row>
    <row r="102" spans="1:6">
      <c r="A102" s="7">
        <v>100</v>
      </c>
      <c r="B102" s="7">
        <v>100</v>
      </c>
      <c r="C102" t="str">
        <f>VLOOKUP(B102,_Pitch!$A$2:$B$129,2,FALSE)</f>
        <v>E6</v>
      </c>
      <c r="D102" s="14"/>
      <c r="E102" s="14"/>
      <c r="F102" s="14"/>
    </row>
    <row r="103" spans="1:6">
      <c r="A103" s="7">
        <v>101</v>
      </c>
      <c r="B103" s="7">
        <v>101</v>
      </c>
      <c r="C103" t="str">
        <f>VLOOKUP(B103,_Pitch!$A$2:$B$129,2,FALSE)</f>
        <v>F6</v>
      </c>
      <c r="D103" s="14"/>
      <c r="E103" s="14"/>
      <c r="F103" s="14"/>
    </row>
    <row r="104" spans="1:6">
      <c r="A104" s="7">
        <v>102</v>
      </c>
      <c r="B104" s="7">
        <v>102</v>
      </c>
      <c r="C104" t="str">
        <f>VLOOKUP(B104,_Pitch!$A$2:$B$129,2,FALSE)</f>
        <v>F#6</v>
      </c>
      <c r="D104" s="14"/>
      <c r="E104" s="14"/>
      <c r="F104" s="14"/>
    </row>
    <row r="105" spans="1:6">
      <c r="A105" s="7">
        <v>103</v>
      </c>
      <c r="B105" s="7">
        <v>103</v>
      </c>
      <c r="C105" t="str">
        <f>VLOOKUP(B105,_Pitch!$A$2:$B$129,2,FALSE)</f>
        <v>G6</v>
      </c>
      <c r="D105" s="14"/>
      <c r="E105" s="14"/>
      <c r="F105" s="14"/>
    </row>
    <row r="106" spans="1:6">
      <c r="A106" s="7">
        <v>104</v>
      </c>
      <c r="B106" s="7">
        <v>104</v>
      </c>
      <c r="C106" t="str">
        <f>VLOOKUP(B106,_Pitch!$A$2:$B$129,2,FALSE)</f>
        <v>G#6</v>
      </c>
      <c r="D106" s="14"/>
      <c r="E106" s="14"/>
      <c r="F106" s="14"/>
    </row>
    <row r="107" spans="1:6">
      <c r="A107" s="7">
        <v>105</v>
      </c>
      <c r="B107" s="7">
        <v>105</v>
      </c>
      <c r="C107" t="str">
        <f>VLOOKUP(B107,_Pitch!$A$2:$B$129,2,FALSE)</f>
        <v>A6</v>
      </c>
      <c r="D107" s="14"/>
      <c r="E107" s="14"/>
      <c r="F107" s="14"/>
    </row>
    <row r="108" spans="1:6">
      <c r="A108" s="7">
        <v>106</v>
      </c>
      <c r="B108" s="7">
        <v>106</v>
      </c>
      <c r="C108" t="str">
        <f>VLOOKUP(B108,_Pitch!$A$2:$B$129,2,FALSE)</f>
        <v>A#6</v>
      </c>
      <c r="D108" s="14"/>
      <c r="E108" s="14"/>
      <c r="F108" s="14"/>
    </row>
    <row r="109" spans="1:6">
      <c r="A109" s="7">
        <v>107</v>
      </c>
      <c r="B109" s="7">
        <v>107</v>
      </c>
      <c r="C109" t="str">
        <f>VLOOKUP(B109,_Pitch!$A$2:$B$129,2,FALSE)</f>
        <v>B6</v>
      </c>
      <c r="D109" s="14"/>
      <c r="E109" s="14"/>
      <c r="F109" s="14"/>
    </row>
    <row r="110" spans="1:6">
      <c r="A110" s="7">
        <v>108</v>
      </c>
      <c r="B110" s="7">
        <v>108</v>
      </c>
      <c r="C110" t="str">
        <f>VLOOKUP(B110,_Pitch!$A$2:$B$129,2,FALSE)</f>
        <v>C7</v>
      </c>
      <c r="D110" s="14"/>
      <c r="E110" s="14"/>
      <c r="F110" s="14"/>
    </row>
    <row r="111" spans="1:6">
      <c r="A111" s="7">
        <v>109</v>
      </c>
      <c r="B111" s="7">
        <v>109</v>
      </c>
      <c r="C111" t="str">
        <f>VLOOKUP(B111,_Pitch!$A$2:$B$129,2,FALSE)</f>
        <v>C#7</v>
      </c>
      <c r="D111" s="14"/>
      <c r="E111" s="14"/>
      <c r="F111" s="14"/>
    </row>
    <row r="112" spans="1:6">
      <c r="A112" s="7">
        <v>110</v>
      </c>
      <c r="B112" s="7">
        <v>110</v>
      </c>
      <c r="C112" t="str">
        <f>VLOOKUP(B112,_Pitch!$A$2:$B$129,2,FALSE)</f>
        <v>D7</v>
      </c>
      <c r="D112" s="14"/>
      <c r="E112" s="14"/>
      <c r="F112" s="14"/>
    </row>
    <row r="113" spans="1:6">
      <c r="A113" s="7">
        <v>111</v>
      </c>
      <c r="B113" s="7">
        <v>111</v>
      </c>
      <c r="C113" t="str">
        <f>VLOOKUP(B113,_Pitch!$A$2:$B$129,2,FALSE)</f>
        <v>D#7</v>
      </c>
      <c r="D113" s="14"/>
      <c r="E113" s="14"/>
      <c r="F113" s="14"/>
    </row>
    <row r="114" spans="1:6">
      <c r="A114" s="7">
        <v>112</v>
      </c>
      <c r="B114" s="7">
        <v>112</v>
      </c>
      <c r="C114" t="str">
        <f>VLOOKUP(B114,_Pitch!$A$2:$B$129,2,FALSE)</f>
        <v>E7</v>
      </c>
      <c r="D114" s="14"/>
      <c r="E114" s="14"/>
      <c r="F114" s="14"/>
    </row>
    <row r="115" spans="1:6">
      <c r="A115" s="7">
        <v>113</v>
      </c>
      <c r="B115" s="7">
        <v>113</v>
      </c>
      <c r="C115" t="str">
        <f>VLOOKUP(B115,_Pitch!$A$2:$B$129,2,FALSE)</f>
        <v>F7</v>
      </c>
      <c r="D115" s="14"/>
      <c r="E115" s="14"/>
      <c r="F115" s="14"/>
    </row>
    <row r="116" spans="1:6">
      <c r="A116" s="7">
        <v>114</v>
      </c>
      <c r="B116" s="7">
        <v>114</v>
      </c>
      <c r="C116" t="str">
        <f>VLOOKUP(B116,_Pitch!$A$2:$B$129,2,FALSE)</f>
        <v>F#7</v>
      </c>
      <c r="D116" s="14"/>
      <c r="E116" s="14"/>
      <c r="F116" s="14"/>
    </row>
    <row r="117" spans="1:6">
      <c r="A117" s="7">
        <v>115</v>
      </c>
      <c r="B117" s="7">
        <v>115</v>
      </c>
      <c r="C117" t="str">
        <f>VLOOKUP(B117,_Pitch!$A$2:$B$129,2,FALSE)</f>
        <v>G7</v>
      </c>
      <c r="D117" s="14"/>
      <c r="E117" s="14"/>
      <c r="F117" s="14"/>
    </row>
    <row r="118" spans="1:6">
      <c r="A118" s="7">
        <v>116</v>
      </c>
      <c r="B118" s="7">
        <v>116</v>
      </c>
      <c r="C118" t="str">
        <f>VLOOKUP(B118,_Pitch!$A$2:$B$129,2,FALSE)</f>
        <v>G#7</v>
      </c>
      <c r="D118" s="14"/>
      <c r="E118" s="14"/>
      <c r="F118" s="14"/>
    </row>
    <row r="119" spans="1:6">
      <c r="A119" s="7">
        <v>117</v>
      </c>
      <c r="B119" s="7">
        <v>117</v>
      </c>
      <c r="C119" t="str">
        <f>VLOOKUP(B119,_Pitch!$A$2:$B$129,2,FALSE)</f>
        <v>A7</v>
      </c>
      <c r="D119" s="14"/>
      <c r="E119" s="14"/>
      <c r="F119" s="14"/>
    </row>
    <row r="120" spans="1:6">
      <c r="A120" s="7">
        <v>118</v>
      </c>
      <c r="B120" s="7">
        <v>118</v>
      </c>
      <c r="C120" t="str">
        <f>VLOOKUP(B120,_Pitch!$A$2:$B$129,2,FALSE)</f>
        <v>A#7</v>
      </c>
      <c r="D120" s="14"/>
      <c r="E120" s="14"/>
      <c r="F120" s="14"/>
    </row>
    <row r="121" spans="1:6">
      <c r="A121" s="7">
        <v>119</v>
      </c>
      <c r="B121" s="7">
        <v>119</v>
      </c>
      <c r="C121" t="str">
        <f>VLOOKUP(B121,_Pitch!$A$2:$B$129,2,FALSE)</f>
        <v>B7</v>
      </c>
      <c r="D121" s="14"/>
      <c r="E121" s="14"/>
      <c r="F121" s="14"/>
    </row>
    <row r="122" spans="1:6">
      <c r="A122" s="7">
        <v>120</v>
      </c>
      <c r="B122" s="7">
        <v>120</v>
      </c>
      <c r="C122" t="str">
        <f>VLOOKUP(B122,_Pitch!$A$2:$B$129,2,FALSE)</f>
        <v>C8</v>
      </c>
      <c r="D122" s="14"/>
      <c r="E122" s="14"/>
      <c r="F122" s="14"/>
    </row>
    <row r="123" spans="1:6">
      <c r="A123" s="7">
        <v>121</v>
      </c>
      <c r="B123" s="7">
        <v>121</v>
      </c>
      <c r="C123" t="str">
        <f>VLOOKUP(B123,_Pitch!$A$2:$B$129,2,FALSE)</f>
        <v>C#8</v>
      </c>
      <c r="D123" s="14"/>
      <c r="E123" s="14"/>
      <c r="F123" s="14"/>
    </row>
    <row r="124" spans="1:6">
      <c r="A124" s="7">
        <v>122</v>
      </c>
      <c r="B124" s="7">
        <v>122</v>
      </c>
      <c r="C124" t="str">
        <f>VLOOKUP(B124,_Pitch!$A$2:$B$129,2,FALSE)</f>
        <v>D8</v>
      </c>
      <c r="D124" s="14"/>
      <c r="E124" s="14"/>
      <c r="F124" s="14"/>
    </row>
    <row r="125" spans="1:6">
      <c r="A125" s="7">
        <v>123</v>
      </c>
      <c r="B125" s="7">
        <v>123</v>
      </c>
      <c r="C125" t="str">
        <f>VLOOKUP(B125,_Pitch!$A$2:$B$129,2,FALSE)</f>
        <v>D#8</v>
      </c>
      <c r="D125" s="14"/>
      <c r="E125" s="14"/>
      <c r="F125" s="14"/>
    </row>
    <row r="126" spans="1:6">
      <c r="A126" s="7">
        <v>124</v>
      </c>
      <c r="B126" s="7">
        <v>124</v>
      </c>
      <c r="C126" t="str">
        <f>VLOOKUP(B126,_Pitch!$A$2:$B$129,2,FALSE)</f>
        <v>E8</v>
      </c>
      <c r="D126" s="14"/>
      <c r="E126" s="14"/>
      <c r="F126" s="14"/>
    </row>
    <row r="127" spans="1:6">
      <c r="A127" s="7">
        <v>125</v>
      </c>
      <c r="B127" s="7">
        <v>125</v>
      </c>
      <c r="C127" t="str">
        <f>VLOOKUP(B127,_Pitch!$A$2:$B$129,2,FALSE)</f>
        <v>F8</v>
      </c>
      <c r="D127" s="14"/>
      <c r="E127" s="14"/>
      <c r="F127" s="14"/>
    </row>
    <row r="128" spans="1:6">
      <c r="A128" s="7">
        <v>126</v>
      </c>
      <c r="B128" s="7">
        <v>126</v>
      </c>
      <c r="C128" t="str">
        <f>VLOOKUP(B128,_Pitch!$A$2:$B$129,2,FALSE)</f>
        <v>F#8</v>
      </c>
      <c r="D128" s="14"/>
      <c r="E128" s="14"/>
      <c r="F128" s="14"/>
    </row>
    <row r="129" spans="1:6">
      <c r="A129" s="7">
        <v>127</v>
      </c>
      <c r="B129" s="7">
        <v>127</v>
      </c>
      <c r="C129" t="str">
        <f>VLOOKUP(B129,_Pitch!$A$2:$B$129,2,FALSE)</f>
        <v>G8</v>
      </c>
      <c r="D129" s="14"/>
      <c r="E129" s="14"/>
      <c r="F129" s="14"/>
    </row>
  </sheetData>
  <autoFilter ref="A1:G129" xr:uid="{F8F91694-971A-4FF4-B6A7-B9F9123FF366}"/>
  <phoneticPr fontId="1"/>
  <dataValidations count="1">
    <dataValidation type="list" allowBlank="1" showInputMessage="1" showErrorMessage="1" sqref="F2:F129" xr:uid="{1992A36C-E42F-42E9-A7E1-28F08CBC9705}">
      <formula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A71A84A6-DA84-4B45-B1A4-90008EF31EC8}">
          <x14:formula1>
            <xm:f>_Articulation!$B$2:B$158</xm:f>
          </x14:formula1>
          <xm:sqref>E2:E129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6F11C-F98D-45AB-ACC7-DDFB6EA53D9B}">
  <sheetPr codeName="Sheet6"/>
  <dimension ref="A1:G129"/>
  <sheetViews>
    <sheetView workbookViewId="0">
      <pane ySplit="1" topLeftCell="A2" activePane="bottomLeft" state="frozen"/>
      <selection activeCell="D14" sqref="D14"/>
      <selection pane="bottomLeft" activeCell="D14" sqref="D14"/>
    </sheetView>
  </sheetViews>
  <sheetFormatPr defaultRowHeight="13.5"/>
  <cols>
    <col min="1" max="1" width="4.5" style="7" bestFit="1" customWidth="1"/>
    <col min="2" max="2" width="4.5" bestFit="1" customWidth="1"/>
    <col min="3" max="3" width="5.5" bestFit="1" customWidth="1"/>
    <col min="4" max="4" width="45.625" customWidth="1"/>
    <col min="5" max="5" width="28.25" customWidth="1"/>
    <col min="6" max="6" width="10.25" customWidth="1"/>
  </cols>
  <sheetData>
    <row r="1" spans="1:7" s="6" customFormat="1" ht="141.75" customHeight="1">
      <c r="A1" s="15" t="s">
        <v>130</v>
      </c>
      <c r="B1" s="15" t="s">
        <v>1105</v>
      </c>
      <c r="C1" s="15" t="s">
        <v>1106</v>
      </c>
      <c r="D1" s="16" t="s">
        <v>131</v>
      </c>
      <c r="E1" s="23" t="s">
        <v>132</v>
      </c>
      <c r="F1" s="17" t="s">
        <v>664</v>
      </c>
      <c r="G1" s="15" t="s">
        <v>696</v>
      </c>
    </row>
    <row r="2" spans="1:7">
      <c r="A2" s="7">
        <v>0</v>
      </c>
      <c r="B2" s="7">
        <v>0</v>
      </c>
      <c r="C2" t="str">
        <f>VLOOKUP(B2,_Pitch!$A$2:$B$129,2,FALSE)</f>
        <v>C-2</v>
      </c>
      <c r="D2" s="14"/>
      <c r="E2" s="14"/>
      <c r="F2" s="14"/>
    </row>
    <row r="3" spans="1:7">
      <c r="A3" s="7">
        <v>1</v>
      </c>
      <c r="B3" s="7">
        <v>1</v>
      </c>
      <c r="C3" t="str">
        <f>VLOOKUP(B3,_Pitch!$A$2:$B$129,2,FALSE)</f>
        <v>C#-2</v>
      </c>
      <c r="D3" s="14" t="s">
        <v>397</v>
      </c>
      <c r="E3" s="14"/>
      <c r="F3" s="14"/>
    </row>
    <row r="4" spans="1:7">
      <c r="A4" s="7">
        <v>2</v>
      </c>
      <c r="B4" s="7">
        <v>2</v>
      </c>
      <c r="C4" t="str">
        <f>VLOOKUP(B4,_Pitch!$A$2:$B$129,2,FALSE)</f>
        <v>D-2</v>
      </c>
      <c r="D4" s="14" t="s">
        <v>398</v>
      </c>
      <c r="E4" s="14"/>
      <c r="F4" s="14"/>
    </row>
    <row r="5" spans="1:7">
      <c r="A5" s="7">
        <v>3</v>
      </c>
      <c r="B5" s="7">
        <v>3</v>
      </c>
      <c r="C5" t="str">
        <f>VLOOKUP(B5,_Pitch!$A$2:$B$129,2,FALSE)</f>
        <v>D#-2</v>
      </c>
      <c r="D5" s="14" t="s">
        <v>399</v>
      </c>
      <c r="E5" s="14"/>
      <c r="F5" s="14"/>
    </row>
    <row r="6" spans="1:7">
      <c r="A6" s="7">
        <v>4</v>
      </c>
      <c r="B6" s="7">
        <v>4</v>
      </c>
      <c r="C6" t="str">
        <f>VLOOKUP(B6,_Pitch!$A$2:$B$129,2,FALSE)</f>
        <v>E-2</v>
      </c>
      <c r="D6" s="14"/>
      <c r="E6" s="14"/>
      <c r="F6" s="14"/>
    </row>
    <row r="7" spans="1:7">
      <c r="A7" s="7">
        <v>5</v>
      </c>
      <c r="B7" s="7">
        <v>5</v>
      </c>
      <c r="C7" t="str">
        <f>VLOOKUP(B7,_Pitch!$A$2:$B$129,2,FALSE)</f>
        <v>F-2</v>
      </c>
      <c r="D7" s="14"/>
      <c r="E7" s="14"/>
      <c r="F7" s="14"/>
    </row>
    <row r="8" spans="1:7">
      <c r="A8" s="7">
        <v>6</v>
      </c>
      <c r="B8" s="7">
        <v>6</v>
      </c>
      <c r="C8" t="str">
        <f>VLOOKUP(B8,_Pitch!$A$2:$B$129,2,FALSE)</f>
        <v>F#-2</v>
      </c>
      <c r="D8" s="14" t="s">
        <v>400</v>
      </c>
      <c r="E8" s="14"/>
      <c r="F8" s="14"/>
    </row>
    <row r="9" spans="1:7">
      <c r="A9" s="7">
        <v>7</v>
      </c>
      <c r="B9" s="7">
        <v>7</v>
      </c>
      <c r="C9" t="str">
        <f>VLOOKUP(B9,_Pitch!$A$2:$B$129,2,FALSE)</f>
        <v>G-2</v>
      </c>
      <c r="D9" s="14" t="s">
        <v>401</v>
      </c>
      <c r="E9" s="14"/>
      <c r="F9" s="14"/>
    </row>
    <row r="10" spans="1:7">
      <c r="A10" s="7">
        <v>8</v>
      </c>
      <c r="B10" s="7">
        <v>8</v>
      </c>
      <c r="C10" t="str">
        <f>VLOOKUP(B10,_Pitch!$A$2:$B$129,2,FALSE)</f>
        <v>G#-2</v>
      </c>
      <c r="D10" s="14" t="s">
        <v>402</v>
      </c>
      <c r="E10" s="14"/>
      <c r="F10" s="14"/>
    </row>
    <row r="11" spans="1:7">
      <c r="A11" s="7">
        <v>9</v>
      </c>
      <c r="B11" s="7">
        <v>9</v>
      </c>
      <c r="C11" t="str">
        <f>VLOOKUP(B11,_Pitch!$A$2:$B$129,2,FALSE)</f>
        <v>A-2</v>
      </c>
      <c r="D11" s="14" t="s">
        <v>402</v>
      </c>
      <c r="E11" s="14"/>
      <c r="F11" s="14"/>
    </row>
    <row r="12" spans="1:7">
      <c r="A12" s="7">
        <v>10</v>
      </c>
      <c r="B12" s="7">
        <v>10</v>
      </c>
      <c r="C12" t="str">
        <f>VLOOKUP(B12,_Pitch!$A$2:$B$129,2,FALSE)</f>
        <v>A#-2</v>
      </c>
      <c r="D12" s="14" t="s">
        <v>1068</v>
      </c>
      <c r="E12" s="14" t="s">
        <v>1068</v>
      </c>
      <c r="F12" s="14" t="s">
        <v>290</v>
      </c>
    </row>
    <row r="13" spans="1:7">
      <c r="A13" s="7">
        <v>11</v>
      </c>
      <c r="B13" s="7">
        <v>11</v>
      </c>
      <c r="C13" t="str">
        <f>VLOOKUP(B13,_Pitch!$A$2:$B$129,2,FALSE)</f>
        <v>B-2</v>
      </c>
      <c r="D13" s="14" t="s">
        <v>153</v>
      </c>
      <c r="E13" s="14" t="s">
        <v>153</v>
      </c>
      <c r="F13" s="14" t="s">
        <v>290</v>
      </c>
    </row>
    <row r="14" spans="1:7">
      <c r="A14" s="7">
        <v>12</v>
      </c>
      <c r="B14" s="7">
        <v>12</v>
      </c>
      <c r="C14" t="str">
        <f>VLOOKUP(B14,_Pitch!$A$2:$B$129,2,FALSE)</f>
        <v>C-1</v>
      </c>
      <c r="D14" s="14" t="s">
        <v>164</v>
      </c>
      <c r="E14" s="14" t="s">
        <v>164</v>
      </c>
      <c r="F14" s="14"/>
    </row>
    <row r="15" spans="1:7">
      <c r="A15" s="7">
        <v>13</v>
      </c>
      <c r="B15" s="7">
        <v>13</v>
      </c>
      <c r="C15" t="str">
        <f>VLOOKUP(B15,_Pitch!$A$2:$B$129,2,FALSE)</f>
        <v>C#-1</v>
      </c>
      <c r="D15" s="14" t="s">
        <v>165</v>
      </c>
      <c r="E15" s="14" t="s">
        <v>165</v>
      </c>
      <c r="F15" s="14"/>
    </row>
    <row r="16" spans="1:7">
      <c r="A16" s="7">
        <v>14</v>
      </c>
      <c r="B16" s="7">
        <v>14</v>
      </c>
      <c r="C16" t="str">
        <f>VLOOKUP(B16,_Pitch!$A$2:$B$129,2,FALSE)</f>
        <v>D-1</v>
      </c>
      <c r="D16" s="14" t="s">
        <v>166</v>
      </c>
      <c r="E16" s="14" t="s">
        <v>166</v>
      </c>
      <c r="F16" s="14"/>
    </row>
    <row r="17" spans="1:6">
      <c r="A17" s="7">
        <v>15</v>
      </c>
      <c r="B17" s="7">
        <v>15</v>
      </c>
      <c r="C17" t="str">
        <f>VLOOKUP(B17,_Pitch!$A$2:$B$129,2,FALSE)</f>
        <v>D#-1</v>
      </c>
      <c r="D17" s="14" t="s">
        <v>167</v>
      </c>
      <c r="E17" s="14" t="s">
        <v>167</v>
      </c>
      <c r="F17" s="14"/>
    </row>
    <row r="18" spans="1:6">
      <c r="A18" s="7">
        <v>16</v>
      </c>
      <c r="B18" s="7">
        <v>16</v>
      </c>
      <c r="C18" t="str">
        <f>VLOOKUP(B18,_Pitch!$A$2:$B$129,2,FALSE)</f>
        <v>E-1</v>
      </c>
      <c r="D18" s="14" t="s">
        <v>168</v>
      </c>
      <c r="E18" s="14" t="s">
        <v>168</v>
      </c>
      <c r="F18" s="14"/>
    </row>
    <row r="19" spans="1:6">
      <c r="A19" s="7">
        <v>17</v>
      </c>
      <c r="B19" s="7">
        <v>17</v>
      </c>
      <c r="C19" t="str">
        <f>VLOOKUP(B19,_Pitch!$A$2:$B$129,2,FALSE)</f>
        <v>F-1</v>
      </c>
      <c r="D19" s="14" t="s">
        <v>169</v>
      </c>
      <c r="E19" s="14" t="s">
        <v>169</v>
      </c>
      <c r="F19" s="14"/>
    </row>
    <row r="20" spans="1:6">
      <c r="A20" s="7">
        <v>18</v>
      </c>
      <c r="B20" s="7">
        <v>18</v>
      </c>
      <c r="C20" t="str">
        <f>VLOOKUP(B20,_Pitch!$A$2:$B$129,2,FALSE)</f>
        <v>F#-1</v>
      </c>
      <c r="D20" s="14" t="s">
        <v>401</v>
      </c>
      <c r="E20" s="14"/>
      <c r="F20" s="14"/>
    </row>
    <row r="21" spans="1:6">
      <c r="A21" s="7">
        <v>19</v>
      </c>
      <c r="B21" s="7">
        <v>19</v>
      </c>
      <c r="C21" t="str">
        <f>VLOOKUP(B21,_Pitch!$A$2:$B$129,2,FALSE)</f>
        <v>G-1</v>
      </c>
      <c r="D21" s="14" t="s">
        <v>402</v>
      </c>
      <c r="E21" s="14"/>
      <c r="F21" s="14"/>
    </row>
    <row r="22" spans="1:6">
      <c r="A22" s="7">
        <v>20</v>
      </c>
      <c r="B22" s="7">
        <v>20</v>
      </c>
      <c r="C22" t="str">
        <f>VLOOKUP(B22,_Pitch!$A$2:$B$129,2,FALSE)</f>
        <v>G#-1</v>
      </c>
      <c r="D22" s="14" t="s">
        <v>401</v>
      </c>
      <c r="E22" s="14"/>
      <c r="F22" s="14"/>
    </row>
    <row r="23" spans="1:6">
      <c r="A23" s="7">
        <v>21</v>
      </c>
      <c r="B23" s="7">
        <v>21</v>
      </c>
      <c r="C23" t="str">
        <f>VLOOKUP(B23,_Pitch!$A$2:$B$129,2,FALSE)</f>
        <v>A-1</v>
      </c>
      <c r="D23" s="14" t="s">
        <v>1068</v>
      </c>
      <c r="E23" s="14" t="s">
        <v>1068</v>
      </c>
      <c r="F23" s="14" t="s">
        <v>290</v>
      </c>
    </row>
    <row r="24" spans="1:6">
      <c r="A24" s="7">
        <v>22</v>
      </c>
      <c r="B24" s="7">
        <v>22</v>
      </c>
      <c r="C24" t="str">
        <f>VLOOKUP(B24,_Pitch!$A$2:$B$129,2,FALSE)</f>
        <v>A#-1</v>
      </c>
      <c r="D24" s="14" t="s">
        <v>149</v>
      </c>
      <c r="E24" s="14" t="s">
        <v>149</v>
      </c>
      <c r="F24" s="14"/>
    </row>
    <row r="25" spans="1:6">
      <c r="A25" s="7">
        <v>23</v>
      </c>
      <c r="B25" s="7">
        <v>23</v>
      </c>
      <c r="C25" t="str">
        <f>VLOOKUP(B25,_Pitch!$A$2:$B$129,2,FALSE)</f>
        <v>B-1</v>
      </c>
      <c r="D25" s="14" t="s">
        <v>403</v>
      </c>
      <c r="E25" s="14" t="s">
        <v>403</v>
      </c>
      <c r="F25" s="14"/>
    </row>
    <row r="26" spans="1:6">
      <c r="A26" s="7">
        <v>24</v>
      </c>
      <c r="B26" s="7">
        <v>24</v>
      </c>
      <c r="C26" t="str">
        <f>VLOOKUP(B26,_Pitch!$A$2:$B$129,2,FALSE)</f>
        <v>C0</v>
      </c>
      <c r="D26" s="14" t="s">
        <v>159</v>
      </c>
      <c r="E26" s="14" t="s">
        <v>159</v>
      </c>
      <c r="F26" s="14"/>
    </row>
    <row r="27" spans="1:6">
      <c r="A27" s="7">
        <v>25</v>
      </c>
      <c r="B27" s="7">
        <v>25</v>
      </c>
      <c r="C27" t="str">
        <f>VLOOKUP(B27,_Pitch!$A$2:$B$129,2,FALSE)</f>
        <v>C#0</v>
      </c>
      <c r="D27" s="14" t="s">
        <v>160</v>
      </c>
      <c r="E27" s="14" t="s">
        <v>160</v>
      </c>
      <c r="F27" s="14" t="s">
        <v>290</v>
      </c>
    </row>
    <row r="28" spans="1:6">
      <c r="A28" s="7">
        <v>26</v>
      </c>
      <c r="B28" s="7">
        <v>26</v>
      </c>
      <c r="C28" t="str">
        <f>VLOOKUP(B28,_Pitch!$A$2:$B$129,2,FALSE)</f>
        <v>D0</v>
      </c>
      <c r="D28" s="14" t="s">
        <v>161</v>
      </c>
      <c r="E28" s="14" t="s">
        <v>161</v>
      </c>
      <c r="F28" s="14"/>
    </row>
    <row r="29" spans="1:6">
      <c r="A29" s="7">
        <v>27</v>
      </c>
      <c r="B29" s="7">
        <v>27</v>
      </c>
      <c r="C29" t="str">
        <f>VLOOKUP(B29,_Pitch!$A$2:$B$129,2,FALSE)</f>
        <v>D#0</v>
      </c>
      <c r="D29" s="14" t="s">
        <v>369</v>
      </c>
      <c r="E29" s="14" t="s">
        <v>206</v>
      </c>
      <c r="F29" s="14"/>
    </row>
    <row r="30" spans="1:6">
      <c r="A30" s="7">
        <v>28</v>
      </c>
      <c r="B30" s="7">
        <v>28</v>
      </c>
      <c r="C30" t="str">
        <f>VLOOKUP(B30,_Pitch!$A$2:$B$129,2,FALSE)</f>
        <v>E0</v>
      </c>
      <c r="D30" s="14" t="s">
        <v>404</v>
      </c>
      <c r="E30" s="14" t="s">
        <v>568</v>
      </c>
      <c r="F30" s="14" t="s">
        <v>290</v>
      </c>
    </row>
    <row r="31" spans="1:6">
      <c r="A31" s="7">
        <v>29</v>
      </c>
      <c r="B31" s="7">
        <v>29</v>
      </c>
      <c r="C31" t="str">
        <f>VLOOKUP(B31,_Pitch!$A$2:$B$129,2,FALSE)</f>
        <v>F0</v>
      </c>
      <c r="D31" s="14" t="s">
        <v>405</v>
      </c>
      <c r="E31" s="14" t="s">
        <v>175</v>
      </c>
      <c r="F31" s="14" t="s">
        <v>290</v>
      </c>
    </row>
    <row r="32" spans="1:6">
      <c r="A32" s="7">
        <v>30</v>
      </c>
      <c r="B32" s="7">
        <v>30</v>
      </c>
      <c r="C32" t="str">
        <f>VLOOKUP(B32,_Pitch!$A$2:$B$129,2,FALSE)</f>
        <v>F#0</v>
      </c>
      <c r="D32" s="14" t="s">
        <v>263</v>
      </c>
      <c r="E32" s="14" t="s">
        <v>181</v>
      </c>
      <c r="F32" s="14" t="s">
        <v>290</v>
      </c>
    </row>
    <row r="33" spans="1:6">
      <c r="A33" s="7">
        <v>31</v>
      </c>
      <c r="B33" s="7">
        <v>31</v>
      </c>
      <c r="C33" t="str">
        <f>VLOOKUP(B33,_Pitch!$A$2:$B$129,2,FALSE)</f>
        <v>G0</v>
      </c>
      <c r="D33" s="14" t="s">
        <v>406</v>
      </c>
      <c r="E33" s="14" t="s">
        <v>212</v>
      </c>
      <c r="F33" s="14"/>
    </row>
    <row r="34" spans="1:6">
      <c r="A34" s="7">
        <v>32</v>
      </c>
      <c r="B34" s="7">
        <v>32</v>
      </c>
      <c r="C34" t="str">
        <f>VLOOKUP(B34,_Pitch!$A$2:$B$129,2,FALSE)</f>
        <v>G#0</v>
      </c>
      <c r="D34" s="14" t="s">
        <v>407</v>
      </c>
      <c r="E34" s="14" t="s">
        <v>569</v>
      </c>
      <c r="F34" s="14" t="s">
        <v>290</v>
      </c>
    </row>
    <row r="35" spans="1:6">
      <c r="A35" s="7">
        <v>33</v>
      </c>
      <c r="B35" s="7">
        <v>33</v>
      </c>
      <c r="C35" t="str">
        <f>VLOOKUP(B35,_Pitch!$A$2:$B$129,2,FALSE)</f>
        <v>A0</v>
      </c>
      <c r="D35" s="14" t="s">
        <v>139</v>
      </c>
      <c r="E35" s="14" t="s">
        <v>139</v>
      </c>
      <c r="F35" s="14"/>
    </row>
    <row r="36" spans="1:6">
      <c r="A36" s="7">
        <v>34</v>
      </c>
      <c r="B36" s="7">
        <v>34</v>
      </c>
      <c r="C36" t="str">
        <f>VLOOKUP(B36,_Pitch!$A$2:$B$129,2,FALSE)</f>
        <v>A#0</v>
      </c>
      <c r="D36" s="14" t="s">
        <v>135</v>
      </c>
      <c r="E36" s="14" t="s">
        <v>133</v>
      </c>
      <c r="F36" s="14" t="s">
        <v>290</v>
      </c>
    </row>
    <row r="37" spans="1:6">
      <c r="A37" s="7">
        <v>35</v>
      </c>
      <c r="B37" s="7">
        <v>35</v>
      </c>
      <c r="C37" t="str">
        <f>VLOOKUP(B37,_Pitch!$A$2:$B$129,2,FALSE)</f>
        <v>B0</v>
      </c>
      <c r="D37" s="14" t="s">
        <v>135</v>
      </c>
      <c r="E37" s="14" t="s">
        <v>135</v>
      </c>
      <c r="F37" s="14" t="s">
        <v>290</v>
      </c>
    </row>
    <row r="38" spans="1:6">
      <c r="A38" s="7">
        <v>36</v>
      </c>
      <c r="B38" s="7">
        <v>36</v>
      </c>
      <c r="C38" t="str">
        <f>VLOOKUP(B38,_Pitch!$A$2:$B$129,2,FALSE)</f>
        <v>C1</v>
      </c>
      <c r="D38" s="14" t="s">
        <v>135</v>
      </c>
      <c r="E38" s="14" t="s">
        <v>133</v>
      </c>
      <c r="F38" s="14"/>
    </row>
    <row r="39" spans="1:6">
      <c r="A39" s="7">
        <v>37</v>
      </c>
      <c r="B39" s="7">
        <v>37</v>
      </c>
      <c r="C39" t="str">
        <f>VLOOKUP(B39,_Pitch!$A$2:$B$129,2,FALSE)</f>
        <v>C#1</v>
      </c>
      <c r="D39" s="14" t="s">
        <v>145</v>
      </c>
      <c r="E39" s="14" t="s">
        <v>145</v>
      </c>
      <c r="F39" s="14"/>
    </row>
    <row r="40" spans="1:6">
      <c r="A40" s="7">
        <v>38</v>
      </c>
      <c r="B40" s="7">
        <v>38</v>
      </c>
      <c r="C40" t="str">
        <f>VLOOKUP(B40,_Pitch!$A$2:$B$129,2,FALSE)</f>
        <v>D1</v>
      </c>
      <c r="D40" s="14" t="s">
        <v>136</v>
      </c>
      <c r="E40" s="14" t="s">
        <v>233</v>
      </c>
      <c r="F40" s="14"/>
    </row>
    <row r="41" spans="1:6">
      <c r="A41" s="7">
        <v>39</v>
      </c>
      <c r="B41" s="7">
        <v>39</v>
      </c>
      <c r="C41" t="str">
        <f>VLOOKUP(B41,_Pitch!$A$2:$B$129,2,FALSE)</f>
        <v>D#1</v>
      </c>
      <c r="D41" s="14" t="s">
        <v>136</v>
      </c>
      <c r="E41" s="14" t="s">
        <v>233</v>
      </c>
      <c r="F41" s="14" t="s">
        <v>290</v>
      </c>
    </row>
    <row r="42" spans="1:6">
      <c r="A42" s="7">
        <v>40</v>
      </c>
      <c r="B42" s="7">
        <v>40</v>
      </c>
      <c r="C42" t="str">
        <f>VLOOKUP(B42,_Pitch!$A$2:$B$129,2,FALSE)</f>
        <v>E1</v>
      </c>
      <c r="D42" s="14" t="s">
        <v>234</v>
      </c>
      <c r="E42" s="14" t="s">
        <v>1077</v>
      </c>
      <c r="F42" s="14"/>
    </row>
    <row r="43" spans="1:6">
      <c r="A43" s="7">
        <v>41</v>
      </c>
      <c r="B43" s="7">
        <v>41</v>
      </c>
      <c r="C43" t="str">
        <f>VLOOKUP(B43,_Pitch!$A$2:$B$129,2,FALSE)</f>
        <v>F1</v>
      </c>
      <c r="D43" s="14" t="s">
        <v>201</v>
      </c>
      <c r="E43" s="14" t="s">
        <v>557</v>
      </c>
      <c r="F43" s="14"/>
    </row>
    <row r="44" spans="1:6">
      <c r="A44" s="7">
        <v>42</v>
      </c>
      <c r="B44" s="7">
        <v>42</v>
      </c>
      <c r="C44" t="str">
        <f>VLOOKUP(B44,_Pitch!$A$2:$B$129,2,FALSE)</f>
        <v>F#1</v>
      </c>
      <c r="D44" s="14" t="s">
        <v>153</v>
      </c>
      <c r="E44" s="14" t="s">
        <v>153</v>
      </c>
      <c r="F44" s="14"/>
    </row>
    <row r="45" spans="1:6">
      <c r="A45" s="7">
        <v>43</v>
      </c>
      <c r="B45" s="7">
        <v>43</v>
      </c>
      <c r="C45" t="str">
        <f>VLOOKUP(B45,_Pitch!$A$2:$B$129,2,FALSE)</f>
        <v>G1</v>
      </c>
      <c r="D45" s="14" t="s">
        <v>196</v>
      </c>
      <c r="E45" s="14" t="s">
        <v>558</v>
      </c>
      <c r="F45" s="14"/>
    </row>
    <row r="46" spans="1:6">
      <c r="A46" s="7">
        <v>44</v>
      </c>
      <c r="B46" s="7">
        <v>44</v>
      </c>
      <c r="C46" t="str">
        <f>VLOOKUP(B46,_Pitch!$A$2:$B$129,2,FALSE)</f>
        <v>G#1</v>
      </c>
      <c r="D46" s="14" t="s">
        <v>1068</v>
      </c>
      <c r="E46" s="14" t="s">
        <v>1068</v>
      </c>
      <c r="F46" s="14"/>
    </row>
    <row r="47" spans="1:6">
      <c r="A47" s="7">
        <v>45</v>
      </c>
      <c r="B47" s="7">
        <v>45</v>
      </c>
      <c r="C47" t="str">
        <f>VLOOKUP(B47,_Pitch!$A$2:$B$129,2,FALSE)</f>
        <v>A1</v>
      </c>
      <c r="D47" s="14" t="s">
        <v>1010</v>
      </c>
      <c r="E47" s="14" t="s">
        <v>239</v>
      </c>
      <c r="F47" s="14"/>
    </row>
    <row r="48" spans="1:6">
      <c r="A48" s="7">
        <v>46</v>
      </c>
      <c r="B48" s="7">
        <v>46</v>
      </c>
      <c r="C48" t="str">
        <f>VLOOKUP(B48,_Pitch!$A$2:$B$129,2,FALSE)</f>
        <v>A#1</v>
      </c>
      <c r="D48" s="14" t="s">
        <v>160</v>
      </c>
      <c r="E48" s="14" t="s">
        <v>160</v>
      </c>
      <c r="F48" s="14"/>
    </row>
    <row r="49" spans="1:6">
      <c r="A49" s="7">
        <v>47</v>
      </c>
      <c r="B49" s="7">
        <v>47</v>
      </c>
      <c r="C49" t="str">
        <f>VLOOKUP(B49,_Pitch!$A$2:$B$129,2,FALSE)</f>
        <v>B1</v>
      </c>
      <c r="D49" s="14" t="s">
        <v>1005</v>
      </c>
      <c r="E49" s="14" t="s">
        <v>559</v>
      </c>
      <c r="F49" s="14"/>
    </row>
    <row r="50" spans="1:6">
      <c r="A50" s="7">
        <v>48</v>
      </c>
      <c r="B50" s="7">
        <v>48</v>
      </c>
      <c r="C50" t="str">
        <f>VLOOKUP(B50,_Pitch!$A$2:$B$129,2,FALSE)</f>
        <v>C2</v>
      </c>
      <c r="D50" s="14" t="s">
        <v>1000</v>
      </c>
      <c r="E50" s="14" t="s">
        <v>560</v>
      </c>
      <c r="F50" s="14"/>
    </row>
    <row r="51" spans="1:6">
      <c r="A51" s="7">
        <v>49</v>
      </c>
      <c r="B51" s="7">
        <v>49</v>
      </c>
      <c r="C51" t="str">
        <f>VLOOKUP(B51,_Pitch!$A$2:$B$129,2,FALSE)</f>
        <v>C#2</v>
      </c>
      <c r="D51" s="14" t="s">
        <v>404</v>
      </c>
      <c r="E51" s="14" t="s">
        <v>568</v>
      </c>
      <c r="F51" s="14"/>
    </row>
    <row r="52" spans="1:6">
      <c r="A52" s="7">
        <v>50</v>
      </c>
      <c r="B52" s="7">
        <v>50</v>
      </c>
      <c r="C52" t="str">
        <f>VLOOKUP(B52,_Pitch!$A$2:$B$129,2,FALSE)</f>
        <v>D2</v>
      </c>
      <c r="D52" s="14" t="s">
        <v>408</v>
      </c>
      <c r="E52" s="14" t="s">
        <v>210</v>
      </c>
      <c r="F52" s="14"/>
    </row>
    <row r="53" spans="1:6">
      <c r="A53" s="7">
        <v>51</v>
      </c>
      <c r="B53" s="7">
        <v>51</v>
      </c>
      <c r="C53" t="str">
        <f>VLOOKUP(B53,_Pitch!$A$2:$B$129,2,FALSE)</f>
        <v>D#2</v>
      </c>
      <c r="D53" s="14" t="s">
        <v>405</v>
      </c>
      <c r="E53" s="14" t="s">
        <v>175</v>
      </c>
      <c r="F53" s="14"/>
    </row>
    <row r="54" spans="1:6">
      <c r="A54" s="7">
        <v>52</v>
      </c>
      <c r="B54" s="7">
        <v>52</v>
      </c>
      <c r="C54" t="str">
        <f>VLOOKUP(B54,_Pitch!$A$2:$B$129,2,FALSE)</f>
        <v>E2</v>
      </c>
      <c r="D54" s="14" t="s">
        <v>905</v>
      </c>
      <c r="E54" s="14" t="s">
        <v>905</v>
      </c>
      <c r="F54" s="14"/>
    </row>
    <row r="55" spans="1:6">
      <c r="A55" s="7">
        <v>53</v>
      </c>
      <c r="B55" s="7">
        <v>53</v>
      </c>
      <c r="C55" t="str">
        <f>VLOOKUP(B55,_Pitch!$A$2:$B$129,2,FALSE)</f>
        <v>F2</v>
      </c>
      <c r="D55" s="14" t="s">
        <v>263</v>
      </c>
      <c r="E55" s="14" t="s">
        <v>181</v>
      </c>
      <c r="F55" s="14"/>
    </row>
    <row r="56" spans="1:6">
      <c r="A56" s="7">
        <v>54</v>
      </c>
      <c r="B56" s="7">
        <v>54</v>
      </c>
      <c r="C56" t="str">
        <f>VLOOKUP(B56,_Pitch!$A$2:$B$129,2,FALSE)</f>
        <v>F#2</v>
      </c>
      <c r="D56" s="14" t="s">
        <v>409</v>
      </c>
      <c r="E56" s="14" t="s">
        <v>919</v>
      </c>
      <c r="F56" s="14"/>
    </row>
    <row r="57" spans="1:6">
      <c r="A57" s="7">
        <v>55</v>
      </c>
      <c r="B57" s="7">
        <v>55</v>
      </c>
      <c r="C57" t="str">
        <f>VLOOKUP(B57,_Pitch!$A$2:$B$129,2,FALSE)</f>
        <v>G2</v>
      </c>
      <c r="D57" s="14" t="s">
        <v>904</v>
      </c>
      <c r="E57" s="14" t="s">
        <v>904</v>
      </c>
      <c r="F57" s="14"/>
    </row>
    <row r="58" spans="1:6">
      <c r="A58" s="7">
        <v>56</v>
      </c>
      <c r="B58" s="7">
        <v>56</v>
      </c>
      <c r="C58" t="str">
        <f>VLOOKUP(B58,_Pitch!$A$2:$B$129,2,FALSE)</f>
        <v>G#2</v>
      </c>
      <c r="D58" s="14" t="s">
        <v>410</v>
      </c>
      <c r="E58" s="14" t="s">
        <v>914</v>
      </c>
      <c r="F58" s="14"/>
    </row>
    <row r="59" spans="1:6">
      <c r="A59" s="7">
        <v>57</v>
      </c>
      <c r="B59" s="7">
        <v>57</v>
      </c>
      <c r="C59" t="str">
        <f>VLOOKUP(B59,_Pitch!$A$2:$B$129,2,FALSE)</f>
        <v>A2</v>
      </c>
      <c r="D59" s="14" t="s">
        <v>407</v>
      </c>
      <c r="E59" s="14" t="s">
        <v>569</v>
      </c>
      <c r="F59" s="14"/>
    </row>
    <row r="60" spans="1:6">
      <c r="A60" s="7">
        <v>58</v>
      </c>
      <c r="B60" s="7">
        <v>58</v>
      </c>
      <c r="C60" t="str">
        <f>VLOOKUP(B60,_Pitch!$A$2:$B$129,2,FALSE)</f>
        <v>A#2</v>
      </c>
      <c r="D60" s="14" t="s">
        <v>411</v>
      </c>
      <c r="E60" s="14" t="s">
        <v>216</v>
      </c>
      <c r="F60" s="14"/>
    </row>
    <row r="61" spans="1:6">
      <c r="A61" s="7">
        <v>59</v>
      </c>
      <c r="B61" s="7">
        <v>59</v>
      </c>
      <c r="C61" t="str">
        <f>VLOOKUP(B61,_Pitch!$A$2:$B$129,2,FALSE)</f>
        <v>B2</v>
      </c>
      <c r="D61" s="14" t="s">
        <v>412</v>
      </c>
      <c r="E61" s="14" t="s">
        <v>182</v>
      </c>
      <c r="F61" s="14"/>
    </row>
    <row r="62" spans="1:6">
      <c r="A62" s="7">
        <v>60</v>
      </c>
      <c r="B62" s="7">
        <v>60</v>
      </c>
      <c r="C62" t="str">
        <f>VLOOKUP(B62,_Pitch!$A$2:$B$129,2,FALSE)</f>
        <v>C3</v>
      </c>
      <c r="D62" s="14" t="s">
        <v>162</v>
      </c>
      <c r="E62" s="14" t="s">
        <v>162</v>
      </c>
      <c r="F62" s="14"/>
    </row>
    <row r="63" spans="1:6">
      <c r="A63" s="7">
        <v>61</v>
      </c>
      <c r="B63" s="7">
        <v>61</v>
      </c>
      <c r="C63" t="str">
        <f>VLOOKUP(B63,_Pitch!$A$2:$B$129,2,FALSE)</f>
        <v>C#3</v>
      </c>
      <c r="D63" s="14" t="s">
        <v>153</v>
      </c>
      <c r="E63" s="14" t="s">
        <v>153</v>
      </c>
      <c r="F63" s="14" t="s">
        <v>290</v>
      </c>
    </row>
    <row r="64" spans="1:6">
      <c r="A64" s="7">
        <v>62</v>
      </c>
      <c r="B64" s="7">
        <v>62</v>
      </c>
      <c r="C64" t="str">
        <f>VLOOKUP(B64,_Pitch!$A$2:$B$129,2,FALSE)</f>
        <v>D3</v>
      </c>
      <c r="D64" s="14" t="s">
        <v>151</v>
      </c>
      <c r="E64" s="14" t="s">
        <v>151</v>
      </c>
      <c r="F64" s="14"/>
    </row>
    <row r="65" spans="1:6">
      <c r="A65" s="7">
        <v>63</v>
      </c>
      <c r="B65" s="7">
        <v>63</v>
      </c>
      <c r="C65" t="str">
        <f>VLOOKUP(B65,_Pitch!$A$2:$B$129,2,FALSE)</f>
        <v>D#3</v>
      </c>
      <c r="D65" s="14" t="s">
        <v>154</v>
      </c>
      <c r="E65" s="14" t="s">
        <v>154</v>
      </c>
      <c r="F65" s="14"/>
    </row>
    <row r="66" spans="1:6">
      <c r="A66" s="7">
        <v>64</v>
      </c>
      <c r="B66" s="7">
        <v>64</v>
      </c>
      <c r="C66" t="str">
        <f>VLOOKUP(B66,_Pitch!$A$2:$B$129,2,FALSE)</f>
        <v>E3</v>
      </c>
      <c r="D66" s="14" t="s">
        <v>156</v>
      </c>
      <c r="E66" s="14" t="s">
        <v>156</v>
      </c>
      <c r="F66" s="14"/>
    </row>
    <row r="67" spans="1:6">
      <c r="A67" s="7">
        <v>65</v>
      </c>
      <c r="B67" s="7">
        <v>65</v>
      </c>
      <c r="C67" t="str">
        <f>VLOOKUP(B67,_Pitch!$A$2:$B$129,2,FALSE)</f>
        <v>F3</v>
      </c>
      <c r="D67" s="14" t="s">
        <v>149</v>
      </c>
      <c r="E67" s="14" t="s">
        <v>149</v>
      </c>
      <c r="F67" s="14" t="s">
        <v>290</v>
      </c>
    </row>
    <row r="68" spans="1:6">
      <c r="A68" s="7">
        <v>66</v>
      </c>
      <c r="B68" s="7">
        <v>66</v>
      </c>
      <c r="C68" t="str">
        <f>VLOOKUP(B68,_Pitch!$A$2:$B$129,2,FALSE)</f>
        <v>F#3</v>
      </c>
      <c r="D68" s="14" t="s">
        <v>136</v>
      </c>
      <c r="E68" s="14" t="s">
        <v>561</v>
      </c>
      <c r="F68" s="14" t="s">
        <v>290</v>
      </c>
    </row>
    <row r="69" spans="1:6">
      <c r="A69" s="7">
        <v>67</v>
      </c>
      <c r="B69" s="7">
        <v>67</v>
      </c>
      <c r="C69" t="str">
        <f>VLOOKUP(B69,_Pitch!$A$2:$B$129,2,FALSE)</f>
        <v>G3</v>
      </c>
      <c r="D69" s="14" t="s">
        <v>145</v>
      </c>
      <c r="E69" s="14" t="s">
        <v>145</v>
      </c>
      <c r="F69" s="14" t="s">
        <v>290</v>
      </c>
    </row>
    <row r="70" spans="1:6">
      <c r="A70" s="7">
        <v>68</v>
      </c>
      <c r="B70" s="7">
        <v>68</v>
      </c>
      <c r="C70" t="str">
        <f>VLOOKUP(B70,_Pitch!$A$2:$B$129,2,FALSE)</f>
        <v>G#3</v>
      </c>
      <c r="D70" s="14" t="s">
        <v>136</v>
      </c>
      <c r="E70" s="14" t="s">
        <v>561</v>
      </c>
      <c r="F70" s="14" t="s">
        <v>290</v>
      </c>
    </row>
    <row r="71" spans="1:6">
      <c r="A71" s="7">
        <v>69</v>
      </c>
      <c r="B71" s="7">
        <v>69</v>
      </c>
      <c r="C71" t="str">
        <f>VLOOKUP(B71,_Pitch!$A$2:$B$129,2,FALSE)</f>
        <v>A3</v>
      </c>
      <c r="D71" s="14" t="s">
        <v>136</v>
      </c>
      <c r="E71" s="14" t="s">
        <v>561</v>
      </c>
      <c r="F71" s="14" t="s">
        <v>290</v>
      </c>
    </row>
    <row r="72" spans="1:6">
      <c r="A72" s="7">
        <v>70</v>
      </c>
      <c r="B72" s="7">
        <v>70</v>
      </c>
      <c r="C72" t="str">
        <f>VLOOKUP(B72,_Pitch!$A$2:$B$129,2,FALSE)</f>
        <v>A#3</v>
      </c>
      <c r="D72" s="14" t="s">
        <v>136</v>
      </c>
      <c r="E72" s="14" t="s">
        <v>561</v>
      </c>
      <c r="F72" s="14" t="s">
        <v>290</v>
      </c>
    </row>
    <row r="73" spans="1:6">
      <c r="A73" s="7">
        <v>71</v>
      </c>
      <c r="B73" s="7">
        <v>71</v>
      </c>
      <c r="C73" t="str">
        <f>VLOOKUP(B73,_Pitch!$A$2:$B$129,2,FALSE)</f>
        <v>B3</v>
      </c>
      <c r="D73" s="14" t="s">
        <v>144</v>
      </c>
      <c r="E73" s="14" t="s">
        <v>144</v>
      </c>
      <c r="F73" s="14" t="s">
        <v>290</v>
      </c>
    </row>
    <row r="74" spans="1:6">
      <c r="A74" s="7">
        <v>72</v>
      </c>
      <c r="B74" s="7">
        <v>72</v>
      </c>
      <c r="C74" t="str">
        <f>VLOOKUP(B74,_Pitch!$A$2:$B$129,2,FALSE)</f>
        <v>C4</v>
      </c>
      <c r="D74" s="14" t="s">
        <v>204</v>
      </c>
      <c r="E74" s="14" t="s">
        <v>204</v>
      </c>
      <c r="F74" s="14" t="s">
        <v>567</v>
      </c>
    </row>
    <row r="75" spans="1:6">
      <c r="A75" s="7">
        <v>73</v>
      </c>
      <c r="B75" s="7">
        <v>73</v>
      </c>
      <c r="C75" t="str">
        <f>VLOOKUP(B75,_Pitch!$A$2:$B$129,2,FALSE)</f>
        <v>C#4</v>
      </c>
      <c r="D75" s="14" t="s">
        <v>203</v>
      </c>
      <c r="E75" s="14" t="s">
        <v>203</v>
      </c>
      <c r="F75" s="14"/>
    </row>
    <row r="76" spans="1:6">
      <c r="A76" s="7">
        <v>74</v>
      </c>
      <c r="B76" s="7">
        <v>74</v>
      </c>
      <c r="C76" t="str">
        <f>VLOOKUP(B76,_Pitch!$A$2:$B$129,2,FALSE)</f>
        <v>D4</v>
      </c>
      <c r="D76" s="14" t="s">
        <v>199</v>
      </c>
      <c r="E76" s="14" t="s">
        <v>199</v>
      </c>
      <c r="F76" s="14" t="s">
        <v>567</v>
      </c>
    </row>
    <row r="77" spans="1:6">
      <c r="A77" s="7">
        <v>75</v>
      </c>
      <c r="B77" s="7">
        <v>75</v>
      </c>
      <c r="C77" t="str">
        <f>VLOOKUP(B77,_Pitch!$A$2:$B$129,2,FALSE)</f>
        <v>D#4</v>
      </c>
      <c r="D77" s="14" t="s">
        <v>198</v>
      </c>
      <c r="E77" s="14" t="s">
        <v>198</v>
      </c>
      <c r="F77" s="14"/>
    </row>
    <row r="78" spans="1:6">
      <c r="A78" s="7">
        <v>76</v>
      </c>
      <c r="B78" s="7">
        <v>76</v>
      </c>
      <c r="C78" t="str">
        <f>VLOOKUP(B78,_Pitch!$A$2:$B$129,2,FALSE)</f>
        <v>E4</v>
      </c>
      <c r="D78" s="14" t="s">
        <v>144</v>
      </c>
      <c r="E78" s="14" t="s">
        <v>144</v>
      </c>
      <c r="F78" s="14"/>
    </row>
    <row r="79" spans="1:6">
      <c r="A79" s="7">
        <v>77</v>
      </c>
      <c r="B79" s="7">
        <v>77</v>
      </c>
      <c r="C79" t="str">
        <f>VLOOKUP(B79,_Pitch!$A$2:$B$129,2,FALSE)</f>
        <v>F4</v>
      </c>
      <c r="D79" s="14" t="s">
        <v>1009</v>
      </c>
      <c r="E79" s="14" t="s">
        <v>1009</v>
      </c>
      <c r="F79" s="14" t="s">
        <v>567</v>
      </c>
    </row>
    <row r="80" spans="1:6">
      <c r="A80" s="7">
        <v>78</v>
      </c>
      <c r="B80" s="7">
        <v>78</v>
      </c>
      <c r="C80" t="str">
        <f>VLOOKUP(B80,_Pitch!$A$2:$B$129,2,FALSE)</f>
        <v>F#4</v>
      </c>
      <c r="D80" s="14" t="s">
        <v>193</v>
      </c>
      <c r="E80" s="14" t="s">
        <v>193</v>
      </c>
      <c r="F80" s="14"/>
    </row>
    <row r="81" spans="1:6">
      <c r="A81" s="7">
        <v>79</v>
      </c>
      <c r="B81" s="7">
        <v>79</v>
      </c>
      <c r="C81" t="str">
        <f>VLOOKUP(B81,_Pitch!$A$2:$B$129,2,FALSE)</f>
        <v>G4</v>
      </c>
      <c r="D81" s="14" t="s">
        <v>1003</v>
      </c>
      <c r="E81" s="14" t="s">
        <v>1003</v>
      </c>
      <c r="F81" s="14" t="s">
        <v>567</v>
      </c>
    </row>
    <row r="82" spans="1:6">
      <c r="A82" s="7">
        <v>80</v>
      </c>
      <c r="B82" s="7">
        <v>80</v>
      </c>
      <c r="C82" t="str">
        <f>VLOOKUP(B82,_Pitch!$A$2:$B$129,2,FALSE)</f>
        <v>G#4</v>
      </c>
      <c r="D82" s="14" t="s">
        <v>191</v>
      </c>
      <c r="E82" s="14" t="s">
        <v>191</v>
      </c>
      <c r="F82" s="14"/>
    </row>
    <row r="83" spans="1:6">
      <c r="A83" s="7">
        <v>81</v>
      </c>
      <c r="B83" s="7">
        <v>81</v>
      </c>
      <c r="C83" t="str">
        <f>VLOOKUP(B83,_Pitch!$A$2:$B$129,2,FALSE)</f>
        <v>A4</v>
      </c>
      <c r="D83" s="14" t="s">
        <v>998</v>
      </c>
      <c r="E83" s="14" t="s">
        <v>998</v>
      </c>
      <c r="F83" s="14" t="s">
        <v>567</v>
      </c>
    </row>
    <row r="84" spans="1:6">
      <c r="A84" s="7">
        <v>82</v>
      </c>
      <c r="B84" s="7">
        <v>82</v>
      </c>
      <c r="C84" t="str">
        <f>VLOOKUP(B84,_Pitch!$A$2:$B$129,2,FALSE)</f>
        <v>A#4</v>
      </c>
      <c r="D84" s="14" t="s">
        <v>189</v>
      </c>
      <c r="E84" s="14" t="s">
        <v>189</v>
      </c>
      <c r="F84" s="14"/>
    </row>
    <row r="85" spans="1:6">
      <c r="A85" s="7">
        <v>83</v>
      </c>
      <c r="B85" s="7">
        <v>83</v>
      </c>
      <c r="C85" t="str">
        <f>VLOOKUP(B85,_Pitch!$A$2:$B$129,2,FALSE)</f>
        <v>B4</v>
      </c>
      <c r="D85" s="14" t="s">
        <v>413</v>
      </c>
      <c r="E85" s="14" t="s">
        <v>384</v>
      </c>
      <c r="F85" s="14"/>
    </row>
    <row r="86" spans="1:6">
      <c r="A86" s="7">
        <v>84</v>
      </c>
      <c r="B86" s="7">
        <v>84</v>
      </c>
      <c r="C86" t="str">
        <f>VLOOKUP(B86,_Pitch!$A$2:$B$129,2,FALSE)</f>
        <v>C5</v>
      </c>
      <c r="D86" s="14" t="s">
        <v>368</v>
      </c>
      <c r="E86" s="14" t="s">
        <v>423</v>
      </c>
      <c r="F86" s="14"/>
    </row>
    <row r="87" spans="1:6">
      <c r="A87" s="7">
        <v>85</v>
      </c>
      <c r="B87" s="7">
        <v>85</v>
      </c>
      <c r="C87" t="str">
        <f>VLOOKUP(B87,_Pitch!$A$2:$B$129,2,FALSE)</f>
        <v>C#5</v>
      </c>
      <c r="D87" s="14" t="s">
        <v>263</v>
      </c>
      <c r="E87" s="14" t="s">
        <v>181</v>
      </c>
      <c r="F87" s="14" t="s">
        <v>290</v>
      </c>
    </row>
    <row r="88" spans="1:6">
      <c r="A88" s="7">
        <v>86</v>
      </c>
      <c r="B88" s="7">
        <v>86</v>
      </c>
      <c r="C88" t="str">
        <f>VLOOKUP(B88,_Pitch!$A$2:$B$129,2,FALSE)</f>
        <v>D5</v>
      </c>
      <c r="D88" s="14" t="s">
        <v>414</v>
      </c>
      <c r="E88" s="14" t="s">
        <v>937</v>
      </c>
      <c r="F88" s="14"/>
    </row>
    <row r="89" spans="1:6">
      <c r="A89" s="7">
        <v>87</v>
      </c>
      <c r="B89" s="7">
        <v>87</v>
      </c>
      <c r="C89" t="str">
        <f>VLOOKUP(B89,_Pitch!$A$2:$B$129,2,FALSE)</f>
        <v>D#5</v>
      </c>
      <c r="D89" s="14" t="s">
        <v>368</v>
      </c>
      <c r="E89" s="14" t="s">
        <v>423</v>
      </c>
      <c r="F89" s="14" t="s">
        <v>290</v>
      </c>
    </row>
    <row r="90" spans="1:6">
      <c r="A90" s="7">
        <v>88</v>
      </c>
      <c r="B90" s="7">
        <v>88</v>
      </c>
      <c r="C90" t="str">
        <f>VLOOKUP(B90,_Pitch!$A$2:$B$129,2,FALSE)</f>
        <v>E5</v>
      </c>
      <c r="D90" s="14" t="s">
        <v>263</v>
      </c>
      <c r="E90" s="14" t="s">
        <v>181</v>
      </c>
      <c r="F90" s="14" t="s">
        <v>290</v>
      </c>
    </row>
    <row r="91" spans="1:6">
      <c r="A91" s="7">
        <v>89</v>
      </c>
      <c r="B91" s="7">
        <v>89</v>
      </c>
      <c r="C91" t="str">
        <f>VLOOKUP(B91,_Pitch!$A$2:$B$129,2,FALSE)</f>
        <v>F5</v>
      </c>
      <c r="D91" s="14" t="s">
        <v>369</v>
      </c>
      <c r="E91" s="14" t="s">
        <v>206</v>
      </c>
      <c r="F91" s="14" t="s">
        <v>290</v>
      </c>
    </row>
    <row r="92" spans="1:6">
      <c r="A92" s="7">
        <v>90</v>
      </c>
      <c r="B92" s="7">
        <v>90</v>
      </c>
      <c r="C92" t="str">
        <f>VLOOKUP(B92,_Pitch!$A$2:$B$129,2,FALSE)</f>
        <v>F#5</v>
      </c>
      <c r="D92" s="14" t="s">
        <v>263</v>
      </c>
      <c r="E92" s="14" t="s">
        <v>181</v>
      </c>
      <c r="F92" s="14" t="s">
        <v>290</v>
      </c>
    </row>
    <row r="93" spans="1:6">
      <c r="A93" s="7">
        <v>91</v>
      </c>
      <c r="B93" s="7">
        <v>91</v>
      </c>
      <c r="C93" t="str">
        <f>VLOOKUP(B93,_Pitch!$A$2:$B$129,2,FALSE)</f>
        <v>G5</v>
      </c>
      <c r="D93" s="14" t="s">
        <v>404</v>
      </c>
      <c r="E93" s="14" t="s">
        <v>568</v>
      </c>
      <c r="F93" s="14" t="s">
        <v>290</v>
      </c>
    </row>
    <row r="94" spans="1:6">
      <c r="A94" s="7">
        <v>92</v>
      </c>
      <c r="B94" s="7">
        <v>92</v>
      </c>
      <c r="C94" t="str">
        <f>VLOOKUP(B94,_Pitch!$A$2:$B$129,2,FALSE)</f>
        <v>G#5</v>
      </c>
      <c r="D94" s="14" t="s">
        <v>263</v>
      </c>
      <c r="E94" s="14" t="s">
        <v>181</v>
      </c>
      <c r="F94" s="14" t="s">
        <v>290</v>
      </c>
    </row>
    <row r="95" spans="1:6">
      <c r="A95" s="7">
        <v>93</v>
      </c>
      <c r="B95" s="7">
        <v>93</v>
      </c>
      <c r="C95" t="str">
        <f>VLOOKUP(B95,_Pitch!$A$2:$B$129,2,FALSE)</f>
        <v>A5</v>
      </c>
      <c r="D95" s="14" t="s">
        <v>263</v>
      </c>
      <c r="E95" s="14" t="s">
        <v>181</v>
      </c>
      <c r="F95" s="14" t="s">
        <v>290</v>
      </c>
    </row>
    <row r="96" spans="1:6">
      <c r="A96" s="7">
        <v>94</v>
      </c>
      <c r="B96" s="7">
        <v>94</v>
      </c>
      <c r="C96" t="str">
        <f>VLOOKUP(B96,_Pitch!$A$2:$B$129,2,FALSE)</f>
        <v>A#5</v>
      </c>
      <c r="D96" s="14" t="s">
        <v>408</v>
      </c>
      <c r="E96" s="14" t="s">
        <v>210</v>
      </c>
      <c r="F96" s="14" t="s">
        <v>290</v>
      </c>
    </row>
    <row r="97" spans="1:6">
      <c r="A97" s="7">
        <v>95</v>
      </c>
      <c r="B97" s="7">
        <v>95</v>
      </c>
      <c r="C97" t="str">
        <f>VLOOKUP(B97,_Pitch!$A$2:$B$129,2,FALSE)</f>
        <v>B5</v>
      </c>
      <c r="D97" s="14" t="s">
        <v>415</v>
      </c>
      <c r="E97" s="14" t="s">
        <v>385</v>
      </c>
      <c r="F97" s="14"/>
    </row>
    <row r="98" spans="1:6">
      <c r="A98" s="7">
        <v>96</v>
      </c>
      <c r="B98" s="7">
        <v>96</v>
      </c>
      <c r="C98" t="str">
        <f>VLOOKUP(B98,_Pitch!$A$2:$B$129,2,FALSE)</f>
        <v>C6</v>
      </c>
      <c r="D98" s="14" t="s">
        <v>416</v>
      </c>
      <c r="E98" s="14" t="s">
        <v>467</v>
      </c>
      <c r="F98" s="14"/>
    </row>
    <row r="99" spans="1:6">
      <c r="A99" s="7">
        <v>97</v>
      </c>
      <c r="B99" s="7">
        <v>97</v>
      </c>
      <c r="C99" t="str">
        <f>VLOOKUP(B99,_Pitch!$A$2:$B$129,2,FALSE)</f>
        <v>C#6</v>
      </c>
      <c r="D99" s="14" t="s">
        <v>263</v>
      </c>
      <c r="E99" s="14" t="s">
        <v>181</v>
      </c>
      <c r="F99" s="14" t="s">
        <v>290</v>
      </c>
    </row>
    <row r="100" spans="1:6">
      <c r="A100" s="7">
        <v>98</v>
      </c>
      <c r="B100" s="7">
        <v>98</v>
      </c>
      <c r="C100" t="str">
        <f>VLOOKUP(B100,_Pitch!$A$2:$B$129,2,FALSE)</f>
        <v>D6</v>
      </c>
      <c r="D100" s="14" t="s">
        <v>417</v>
      </c>
      <c r="E100" s="14" t="s">
        <v>944</v>
      </c>
      <c r="F100" s="14"/>
    </row>
    <row r="101" spans="1:6">
      <c r="A101" s="7">
        <v>99</v>
      </c>
      <c r="B101" s="7">
        <v>99</v>
      </c>
      <c r="C101" t="str">
        <f>VLOOKUP(B101,_Pitch!$A$2:$B$129,2,FALSE)</f>
        <v>D#6</v>
      </c>
      <c r="D101" s="14" t="s">
        <v>415</v>
      </c>
      <c r="E101" s="14" t="s">
        <v>385</v>
      </c>
      <c r="F101" s="14" t="s">
        <v>290</v>
      </c>
    </row>
    <row r="102" spans="1:6">
      <c r="A102" s="7">
        <v>100</v>
      </c>
      <c r="B102" s="7">
        <v>100</v>
      </c>
      <c r="C102" t="str">
        <f>VLOOKUP(B102,_Pitch!$A$2:$B$129,2,FALSE)</f>
        <v>E6</v>
      </c>
      <c r="D102" s="14" t="s">
        <v>263</v>
      </c>
      <c r="E102" s="14" t="s">
        <v>181</v>
      </c>
      <c r="F102" s="14" t="s">
        <v>290</v>
      </c>
    </row>
    <row r="103" spans="1:6">
      <c r="A103" s="7">
        <v>101</v>
      </c>
      <c r="B103" s="7">
        <v>101</v>
      </c>
      <c r="C103" t="str">
        <f>VLOOKUP(B103,_Pitch!$A$2:$B$129,2,FALSE)</f>
        <v>F6</v>
      </c>
      <c r="D103" s="14" t="s">
        <v>406</v>
      </c>
      <c r="E103" s="14" t="s">
        <v>212</v>
      </c>
      <c r="F103" s="14" t="s">
        <v>290</v>
      </c>
    </row>
    <row r="104" spans="1:6">
      <c r="A104" s="7">
        <v>102</v>
      </c>
      <c r="B104" s="7">
        <v>102</v>
      </c>
      <c r="C104" t="str">
        <f>VLOOKUP(B104,_Pitch!$A$2:$B$129,2,FALSE)</f>
        <v>F#6</v>
      </c>
      <c r="D104" s="14" t="s">
        <v>263</v>
      </c>
      <c r="E104" s="14" t="s">
        <v>181</v>
      </c>
      <c r="F104" s="14" t="s">
        <v>290</v>
      </c>
    </row>
    <row r="105" spans="1:6">
      <c r="A105" s="7">
        <v>103</v>
      </c>
      <c r="B105" s="7">
        <v>103</v>
      </c>
      <c r="C105" t="str">
        <f>VLOOKUP(B105,_Pitch!$A$2:$B$129,2,FALSE)</f>
        <v>G6</v>
      </c>
      <c r="D105" s="14" t="s">
        <v>407</v>
      </c>
      <c r="E105" s="14" t="s">
        <v>569</v>
      </c>
      <c r="F105" s="14" t="s">
        <v>290</v>
      </c>
    </row>
    <row r="106" spans="1:6">
      <c r="A106" s="7">
        <v>104</v>
      </c>
      <c r="B106" s="7">
        <v>104</v>
      </c>
      <c r="C106" t="str">
        <f>VLOOKUP(B106,_Pitch!$A$2:$B$129,2,FALSE)</f>
        <v>G#6</v>
      </c>
      <c r="D106" s="14" t="s">
        <v>405</v>
      </c>
      <c r="E106" s="14" t="s">
        <v>175</v>
      </c>
      <c r="F106" s="14" t="s">
        <v>290</v>
      </c>
    </row>
    <row r="107" spans="1:6">
      <c r="A107" s="7">
        <v>105</v>
      </c>
      <c r="B107" s="7">
        <v>105</v>
      </c>
      <c r="C107" t="str">
        <f>VLOOKUP(B107,_Pitch!$A$2:$B$129,2,FALSE)</f>
        <v>A6</v>
      </c>
      <c r="D107" s="14" t="s">
        <v>263</v>
      </c>
      <c r="E107" s="14" t="s">
        <v>181</v>
      </c>
      <c r="F107" s="14" t="s">
        <v>290</v>
      </c>
    </row>
    <row r="108" spans="1:6">
      <c r="A108" s="7">
        <v>106</v>
      </c>
      <c r="B108" s="7">
        <v>106</v>
      </c>
      <c r="C108" t="str">
        <f>VLOOKUP(B108,_Pitch!$A$2:$B$129,2,FALSE)</f>
        <v>A#6</v>
      </c>
      <c r="D108" s="14" t="s">
        <v>411</v>
      </c>
      <c r="E108" s="14" t="s">
        <v>216</v>
      </c>
      <c r="F108" s="14" t="s">
        <v>290</v>
      </c>
    </row>
    <row r="109" spans="1:6">
      <c r="A109" s="7">
        <v>107</v>
      </c>
      <c r="B109" s="7">
        <v>107</v>
      </c>
      <c r="C109" t="str">
        <f>VLOOKUP(B109,_Pitch!$A$2:$B$129,2,FALSE)</f>
        <v>B6</v>
      </c>
      <c r="D109" s="14" t="s">
        <v>409</v>
      </c>
      <c r="E109" s="14" t="s">
        <v>919</v>
      </c>
      <c r="F109" s="14" t="s">
        <v>290</v>
      </c>
    </row>
    <row r="110" spans="1:6">
      <c r="A110" s="7">
        <v>108</v>
      </c>
      <c r="B110" s="7">
        <v>108</v>
      </c>
      <c r="C110" t="str">
        <f>VLOOKUP(B110,_Pitch!$A$2:$B$129,2,FALSE)</f>
        <v>C7</v>
      </c>
      <c r="D110" s="14" t="s">
        <v>418</v>
      </c>
      <c r="E110" s="14" t="s">
        <v>916</v>
      </c>
      <c r="F110" s="14"/>
    </row>
    <row r="111" spans="1:6">
      <c r="A111" s="7">
        <v>109</v>
      </c>
      <c r="B111" s="7">
        <v>109</v>
      </c>
      <c r="C111" t="str">
        <f>VLOOKUP(B111,_Pitch!$A$2:$B$129,2,FALSE)</f>
        <v>C#7</v>
      </c>
      <c r="D111" s="14" t="s">
        <v>263</v>
      </c>
      <c r="E111" s="14" t="s">
        <v>181</v>
      </c>
      <c r="F111" s="14" t="s">
        <v>290</v>
      </c>
    </row>
    <row r="112" spans="1:6">
      <c r="A112" s="7">
        <v>110</v>
      </c>
      <c r="B112" s="7">
        <v>110</v>
      </c>
      <c r="C112" t="str">
        <f>VLOOKUP(B112,_Pitch!$A$2:$B$129,2,FALSE)</f>
        <v>D7</v>
      </c>
      <c r="D112" s="14" t="s">
        <v>905</v>
      </c>
      <c r="E112" s="14" t="s">
        <v>905</v>
      </c>
      <c r="F112" s="14" t="s">
        <v>290</v>
      </c>
    </row>
    <row r="113" spans="1:6">
      <c r="A113" s="7">
        <v>111</v>
      </c>
      <c r="B113" s="7">
        <v>111</v>
      </c>
      <c r="C113" t="str">
        <f>VLOOKUP(B113,_Pitch!$A$2:$B$129,2,FALSE)</f>
        <v>D#7</v>
      </c>
      <c r="D113" s="14" t="s">
        <v>418</v>
      </c>
      <c r="E113" s="14" t="s">
        <v>916</v>
      </c>
      <c r="F113" s="14" t="s">
        <v>290</v>
      </c>
    </row>
    <row r="114" spans="1:6">
      <c r="A114" s="7">
        <v>112</v>
      </c>
      <c r="B114" s="7">
        <v>112</v>
      </c>
      <c r="C114" t="str">
        <f>VLOOKUP(B114,_Pitch!$A$2:$B$129,2,FALSE)</f>
        <v>E7</v>
      </c>
      <c r="D114" s="14" t="s">
        <v>263</v>
      </c>
      <c r="E114" s="14" t="s">
        <v>181</v>
      </c>
      <c r="F114" s="14" t="s">
        <v>290</v>
      </c>
    </row>
    <row r="115" spans="1:6">
      <c r="A115" s="7">
        <v>113</v>
      </c>
      <c r="B115" s="7">
        <v>113</v>
      </c>
      <c r="C115" t="str">
        <f>VLOOKUP(B115,_Pitch!$A$2:$B$129,2,FALSE)</f>
        <v>F7</v>
      </c>
      <c r="D115" s="14" t="s">
        <v>405</v>
      </c>
      <c r="E115" s="14" t="s">
        <v>175</v>
      </c>
      <c r="F115" s="14" t="s">
        <v>290</v>
      </c>
    </row>
    <row r="116" spans="1:6">
      <c r="A116" s="7">
        <v>114</v>
      </c>
      <c r="B116" s="7">
        <v>114</v>
      </c>
      <c r="C116" t="str">
        <f>VLOOKUP(B116,_Pitch!$A$2:$B$129,2,FALSE)</f>
        <v>F#7</v>
      </c>
      <c r="D116" s="14" t="s">
        <v>263</v>
      </c>
      <c r="E116" s="14" t="s">
        <v>181</v>
      </c>
      <c r="F116" s="14" t="s">
        <v>290</v>
      </c>
    </row>
    <row r="117" spans="1:6">
      <c r="A117" s="7">
        <v>115</v>
      </c>
      <c r="B117" s="7">
        <v>115</v>
      </c>
      <c r="C117" t="str">
        <f>VLOOKUP(B117,_Pitch!$A$2:$B$129,2,FALSE)</f>
        <v>G7</v>
      </c>
      <c r="D117" s="14" t="s">
        <v>412</v>
      </c>
      <c r="E117" s="14" t="s">
        <v>182</v>
      </c>
      <c r="F117" s="14" t="s">
        <v>290</v>
      </c>
    </row>
    <row r="118" spans="1:6">
      <c r="A118" s="7">
        <v>116</v>
      </c>
      <c r="B118" s="7">
        <v>116</v>
      </c>
      <c r="C118" t="str">
        <f>VLOOKUP(B118,_Pitch!$A$2:$B$129,2,FALSE)</f>
        <v>G#7</v>
      </c>
      <c r="D118" s="14" t="s">
        <v>405</v>
      </c>
      <c r="E118" s="14" t="s">
        <v>175</v>
      </c>
      <c r="F118" s="14" t="s">
        <v>290</v>
      </c>
    </row>
    <row r="119" spans="1:6">
      <c r="A119" s="7">
        <v>117</v>
      </c>
      <c r="B119" s="7">
        <v>117</v>
      </c>
      <c r="C119" t="str">
        <f>VLOOKUP(B119,_Pitch!$A$2:$B$129,2,FALSE)</f>
        <v>A7</v>
      </c>
      <c r="D119" s="14" t="s">
        <v>263</v>
      </c>
      <c r="E119" s="14" t="s">
        <v>181</v>
      </c>
      <c r="F119" s="14" t="s">
        <v>290</v>
      </c>
    </row>
    <row r="120" spans="1:6">
      <c r="A120" s="7">
        <v>118</v>
      </c>
      <c r="B120" s="7">
        <v>118</v>
      </c>
      <c r="C120" t="str">
        <f>VLOOKUP(B120,_Pitch!$A$2:$B$129,2,FALSE)</f>
        <v>A#7</v>
      </c>
      <c r="D120" s="14" t="s">
        <v>419</v>
      </c>
      <c r="E120" s="14" t="s">
        <v>183</v>
      </c>
      <c r="F120" s="14"/>
    </row>
    <row r="121" spans="1:6">
      <c r="A121" s="7">
        <v>119</v>
      </c>
      <c r="B121" s="7">
        <v>119</v>
      </c>
      <c r="C121" t="str">
        <f>VLOOKUP(B121,_Pitch!$A$2:$B$129,2,FALSE)</f>
        <v>B7</v>
      </c>
      <c r="D121" s="14" t="s">
        <v>153</v>
      </c>
      <c r="E121" s="14" t="s">
        <v>153</v>
      </c>
      <c r="F121" s="14" t="s">
        <v>290</v>
      </c>
    </row>
    <row r="122" spans="1:6">
      <c r="A122" s="7">
        <v>120</v>
      </c>
      <c r="B122" s="7">
        <v>120</v>
      </c>
      <c r="C122" t="str">
        <f>VLOOKUP(B122,_Pitch!$A$2:$B$129,2,FALSE)</f>
        <v>C8</v>
      </c>
      <c r="D122" s="14" t="s">
        <v>156</v>
      </c>
      <c r="E122" s="14" t="s">
        <v>156</v>
      </c>
      <c r="F122" s="14" t="s">
        <v>290</v>
      </c>
    </row>
    <row r="123" spans="1:6">
      <c r="A123" s="7">
        <v>121</v>
      </c>
      <c r="B123" s="7">
        <v>121</v>
      </c>
      <c r="C123" t="str">
        <f>VLOOKUP(B123,_Pitch!$A$2:$B$129,2,FALSE)</f>
        <v>C#8</v>
      </c>
      <c r="D123" s="14" t="s">
        <v>162</v>
      </c>
      <c r="E123" s="14" t="s">
        <v>162</v>
      </c>
      <c r="F123" s="14" t="s">
        <v>290</v>
      </c>
    </row>
    <row r="124" spans="1:6">
      <c r="A124" s="7">
        <v>122</v>
      </c>
      <c r="B124" s="7">
        <v>122</v>
      </c>
      <c r="C124" t="str">
        <f>VLOOKUP(B124,_Pitch!$A$2:$B$129,2,FALSE)</f>
        <v>D8</v>
      </c>
      <c r="D124" s="14" t="s">
        <v>149</v>
      </c>
      <c r="E124" s="14" t="s">
        <v>149</v>
      </c>
      <c r="F124" s="14" t="s">
        <v>290</v>
      </c>
    </row>
    <row r="125" spans="1:6">
      <c r="A125" s="7">
        <v>123</v>
      </c>
      <c r="B125" s="7">
        <v>123</v>
      </c>
      <c r="C125" t="str">
        <f>VLOOKUP(B125,_Pitch!$A$2:$B$129,2,FALSE)</f>
        <v>D#8</v>
      </c>
      <c r="D125" s="14" t="s">
        <v>160</v>
      </c>
      <c r="E125" s="14" t="s">
        <v>160</v>
      </c>
      <c r="F125" s="14" t="s">
        <v>290</v>
      </c>
    </row>
    <row r="126" spans="1:6">
      <c r="A126" s="7">
        <v>124</v>
      </c>
      <c r="B126" s="7">
        <v>124</v>
      </c>
      <c r="C126" t="str">
        <f>VLOOKUP(B126,_Pitch!$A$2:$B$129,2,FALSE)</f>
        <v>E8</v>
      </c>
      <c r="D126" s="14" t="s">
        <v>163</v>
      </c>
      <c r="E126" s="14" t="s">
        <v>163</v>
      </c>
      <c r="F126" s="14"/>
    </row>
    <row r="127" spans="1:6">
      <c r="A127" s="7">
        <v>125</v>
      </c>
      <c r="B127" s="7">
        <v>125</v>
      </c>
      <c r="C127" t="str">
        <f>VLOOKUP(B127,_Pitch!$A$2:$B$129,2,FALSE)</f>
        <v>F8</v>
      </c>
      <c r="D127" s="14" t="s">
        <v>136</v>
      </c>
      <c r="E127" s="14" t="s">
        <v>561</v>
      </c>
      <c r="F127" s="14" t="s">
        <v>290</v>
      </c>
    </row>
    <row r="128" spans="1:6">
      <c r="A128" s="7">
        <v>126</v>
      </c>
      <c r="B128" s="7">
        <v>126</v>
      </c>
      <c r="C128" t="str">
        <f>VLOOKUP(B128,_Pitch!$A$2:$B$129,2,FALSE)</f>
        <v>F#8</v>
      </c>
      <c r="D128" s="14" t="s">
        <v>234</v>
      </c>
      <c r="E128" s="14" t="s">
        <v>1077</v>
      </c>
      <c r="F128" s="14" t="s">
        <v>290</v>
      </c>
    </row>
    <row r="129" spans="1:6">
      <c r="A129" s="7">
        <v>127</v>
      </c>
      <c r="B129" s="7">
        <v>127</v>
      </c>
      <c r="C129" t="str">
        <f>VLOOKUP(B129,_Pitch!$A$2:$B$129,2,FALSE)</f>
        <v>G8</v>
      </c>
      <c r="D129" s="14" t="s">
        <v>145</v>
      </c>
      <c r="E129" s="14" t="s">
        <v>145</v>
      </c>
      <c r="F129" s="14" t="s">
        <v>290</v>
      </c>
    </row>
  </sheetData>
  <autoFilter ref="A1:G129" xr:uid="{8A46F11C-F98D-45AB-ACC7-DDFB6EA53D9B}"/>
  <phoneticPr fontId="1"/>
  <dataValidations count="1">
    <dataValidation type="list" allowBlank="1" showInputMessage="1" showErrorMessage="1" sqref="F2:F129" xr:uid="{23104C1E-22A3-4C63-9F4F-0ABAD53B1BDF}">
      <formula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573E3A0F-2BE3-4DB6-9097-4C49E6A4E7F1}">
          <x14:formula1>
            <xm:f>_Articulation!$B$2:B$158</xm:f>
          </x14:formula1>
          <xm:sqref>E2:E129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0C6E74-50E5-415F-9B03-20E2BA6463CE}">
  <sheetPr codeName="Sheet7"/>
  <dimension ref="A1:G129"/>
  <sheetViews>
    <sheetView workbookViewId="0">
      <pane ySplit="1" topLeftCell="A2" activePane="bottomLeft" state="frozen"/>
      <selection activeCell="D14" sqref="D14"/>
      <selection pane="bottomLeft" activeCell="D14" sqref="D14"/>
    </sheetView>
  </sheetViews>
  <sheetFormatPr defaultRowHeight="13.5"/>
  <cols>
    <col min="1" max="1" width="4.5" style="7" bestFit="1" customWidth="1"/>
    <col min="2" max="2" width="4.5" bestFit="1" customWidth="1"/>
    <col min="3" max="3" width="5.5" bestFit="1" customWidth="1"/>
    <col min="4" max="4" width="45.625" customWidth="1"/>
    <col min="5" max="5" width="28.25" customWidth="1"/>
    <col min="6" max="6" width="10.25" customWidth="1"/>
  </cols>
  <sheetData>
    <row r="1" spans="1:7" s="6" customFormat="1" ht="141.75" customHeight="1">
      <c r="A1" s="15" t="s">
        <v>130</v>
      </c>
      <c r="B1" s="15" t="s">
        <v>1105</v>
      </c>
      <c r="C1" s="15" t="s">
        <v>1106</v>
      </c>
      <c r="D1" s="16" t="s">
        <v>131</v>
      </c>
      <c r="E1" s="23" t="s">
        <v>132</v>
      </c>
      <c r="F1" s="17" t="s">
        <v>664</v>
      </c>
      <c r="G1" s="15" t="s">
        <v>696</v>
      </c>
    </row>
    <row r="2" spans="1:7">
      <c r="A2" s="7">
        <v>0</v>
      </c>
      <c r="B2" s="7">
        <v>0</v>
      </c>
      <c r="C2" t="str">
        <f>VLOOKUP(B2,_Pitch!$A$2:$B$129,2,FALSE)</f>
        <v>C-2</v>
      </c>
      <c r="D2" s="14"/>
      <c r="E2" s="14"/>
      <c r="F2" s="14"/>
    </row>
    <row r="3" spans="1:7">
      <c r="A3" s="7">
        <v>1</v>
      </c>
      <c r="B3" s="7">
        <v>1</v>
      </c>
      <c r="C3" t="str">
        <f>VLOOKUP(B3,_Pitch!$A$2:$B$129,2,FALSE)</f>
        <v>C#-2</v>
      </c>
      <c r="D3" s="14" t="s">
        <v>397</v>
      </c>
      <c r="E3" s="14"/>
      <c r="F3" s="14"/>
    </row>
    <row r="4" spans="1:7">
      <c r="A4" s="7">
        <v>2</v>
      </c>
      <c r="B4" s="7">
        <v>2</v>
      </c>
      <c r="C4" t="str">
        <f>VLOOKUP(B4,_Pitch!$A$2:$B$129,2,FALSE)</f>
        <v>D-2</v>
      </c>
      <c r="D4" s="14" t="s">
        <v>398</v>
      </c>
      <c r="E4" s="14"/>
      <c r="F4" s="14"/>
    </row>
    <row r="5" spans="1:7">
      <c r="A5" s="7">
        <v>3</v>
      </c>
      <c r="B5" s="7">
        <v>3</v>
      </c>
      <c r="C5" t="str">
        <f>VLOOKUP(B5,_Pitch!$A$2:$B$129,2,FALSE)</f>
        <v>D#-2</v>
      </c>
      <c r="D5" s="14" t="s">
        <v>399</v>
      </c>
      <c r="E5" s="14"/>
      <c r="F5" s="14"/>
    </row>
    <row r="6" spans="1:7">
      <c r="A6" s="7">
        <v>4</v>
      </c>
      <c r="B6" s="7">
        <v>4</v>
      </c>
      <c r="C6" t="str">
        <f>VLOOKUP(B6,_Pitch!$A$2:$B$129,2,FALSE)</f>
        <v>E-2</v>
      </c>
      <c r="D6" s="14"/>
      <c r="E6" s="14"/>
      <c r="F6" s="14"/>
    </row>
    <row r="7" spans="1:7">
      <c r="A7" s="7">
        <v>5</v>
      </c>
      <c r="B7" s="7">
        <v>5</v>
      </c>
      <c r="C7" t="str">
        <f>VLOOKUP(B7,_Pitch!$A$2:$B$129,2,FALSE)</f>
        <v>F-2</v>
      </c>
      <c r="D7" s="14"/>
      <c r="E7" s="14"/>
      <c r="F7" s="14"/>
    </row>
    <row r="8" spans="1:7">
      <c r="A8" s="7">
        <v>6</v>
      </c>
      <c r="B8" s="7">
        <v>6</v>
      </c>
      <c r="C8" t="str">
        <f>VLOOKUP(B8,_Pitch!$A$2:$B$129,2,FALSE)</f>
        <v>F#-2</v>
      </c>
      <c r="D8" s="14" t="s">
        <v>400</v>
      </c>
      <c r="E8" s="14"/>
      <c r="F8" s="14"/>
    </row>
    <row r="9" spans="1:7">
      <c r="A9" s="7">
        <v>7</v>
      </c>
      <c r="B9" s="7">
        <v>7</v>
      </c>
      <c r="C9" t="str">
        <f>VLOOKUP(B9,_Pitch!$A$2:$B$129,2,FALSE)</f>
        <v>G-2</v>
      </c>
      <c r="D9" s="14" t="s">
        <v>401</v>
      </c>
      <c r="E9" s="14"/>
      <c r="F9" s="14"/>
    </row>
    <row r="10" spans="1:7">
      <c r="A10" s="7">
        <v>8</v>
      </c>
      <c r="B10" s="7">
        <v>8</v>
      </c>
      <c r="C10" t="str">
        <f>VLOOKUP(B10,_Pitch!$A$2:$B$129,2,FALSE)</f>
        <v>G#-2</v>
      </c>
      <c r="D10" s="14" t="s">
        <v>402</v>
      </c>
      <c r="E10" s="14"/>
      <c r="F10" s="14"/>
    </row>
    <row r="11" spans="1:7">
      <c r="A11" s="7">
        <v>9</v>
      </c>
      <c r="B11" s="7">
        <v>9</v>
      </c>
      <c r="C11" t="str">
        <f>VLOOKUP(B11,_Pitch!$A$2:$B$129,2,FALSE)</f>
        <v>A-2</v>
      </c>
      <c r="D11" s="14" t="s">
        <v>402</v>
      </c>
      <c r="E11" s="14"/>
      <c r="F11" s="14"/>
    </row>
    <row r="12" spans="1:7">
      <c r="A12" s="7">
        <v>10</v>
      </c>
      <c r="B12" s="7">
        <v>10</v>
      </c>
      <c r="C12" t="str">
        <f>VLOOKUP(B12,_Pitch!$A$2:$B$129,2,FALSE)</f>
        <v>A#-2</v>
      </c>
      <c r="D12" s="14" t="s">
        <v>1068</v>
      </c>
      <c r="E12" s="14" t="s">
        <v>1068</v>
      </c>
      <c r="F12" s="14" t="s">
        <v>290</v>
      </c>
    </row>
    <row r="13" spans="1:7">
      <c r="A13" s="7">
        <v>11</v>
      </c>
      <c r="B13" s="7">
        <v>11</v>
      </c>
      <c r="C13" t="str">
        <f>VLOOKUP(B13,_Pitch!$A$2:$B$129,2,FALSE)</f>
        <v>B-2</v>
      </c>
      <c r="D13" s="14" t="s">
        <v>153</v>
      </c>
      <c r="E13" s="14" t="s">
        <v>153</v>
      </c>
      <c r="F13" s="14" t="s">
        <v>290</v>
      </c>
    </row>
    <row r="14" spans="1:7">
      <c r="A14" s="7">
        <v>12</v>
      </c>
      <c r="B14" s="7">
        <v>12</v>
      </c>
      <c r="C14" t="str">
        <f>VLOOKUP(B14,_Pitch!$A$2:$B$129,2,FALSE)</f>
        <v>C-1</v>
      </c>
      <c r="D14" s="14" t="s">
        <v>164</v>
      </c>
      <c r="E14" s="14" t="s">
        <v>164</v>
      </c>
      <c r="F14" s="14"/>
    </row>
    <row r="15" spans="1:7">
      <c r="A15" s="7">
        <v>13</v>
      </c>
      <c r="B15" s="7">
        <v>13</v>
      </c>
      <c r="C15" t="str">
        <f>VLOOKUP(B15,_Pitch!$A$2:$B$129,2,FALSE)</f>
        <v>C#-1</v>
      </c>
      <c r="D15" s="14" t="s">
        <v>165</v>
      </c>
      <c r="E15" s="14" t="s">
        <v>165</v>
      </c>
      <c r="F15" s="14"/>
    </row>
    <row r="16" spans="1:7">
      <c r="A16" s="7">
        <v>14</v>
      </c>
      <c r="B16" s="7">
        <v>14</v>
      </c>
      <c r="C16" t="str">
        <f>VLOOKUP(B16,_Pitch!$A$2:$B$129,2,FALSE)</f>
        <v>D-1</v>
      </c>
      <c r="D16" s="14" t="s">
        <v>166</v>
      </c>
      <c r="E16" s="14" t="s">
        <v>166</v>
      </c>
      <c r="F16" s="14"/>
    </row>
    <row r="17" spans="1:6">
      <c r="A17" s="7">
        <v>15</v>
      </c>
      <c r="B17" s="7">
        <v>15</v>
      </c>
      <c r="C17" t="str">
        <f>VLOOKUP(B17,_Pitch!$A$2:$B$129,2,FALSE)</f>
        <v>D#-1</v>
      </c>
      <c r="D17" s="14" t="s">
        <v>167</v>
      </c>
      <c r="E17" s="14" t="s">
        <v>167</v>
      </c>
      <c r="F17" s="14"/>
    </row>
    <row r="18" spans="1:6">
      <c r="A18" s="7">
        <v>16</v>
      </c>
      <c r="B18" s="7">
        <v>16</v>
      </c>
      <c r="C18" t="str">
        <f>VLOOKUP(B18,_Pitch!$A$2:$B$129,2,FALSE)</f>
        <v>E-1</v>
      </c>
      <c r="D18" s="14" t="s">
        <v>168</v>
      </c>
      <c r="E18" s="14" t="s">
        <v>168</v>
      </c>
      <c r="F18" s="14"/>
    </row>
    <row r="19" spans="1:6">
      <c r="A19" s="7">
        <v>17</v>
      </c>
      <c r="B19" s="7">
        <v>17</v>
      </c>
      <c r="C19" t="str">
        <f>VLOOKUP(B19,_Pitch!$A$2:$B$129,2,FALSE)</f>
        <v>F-1</v>
      </c>
      <c r="D19" s="14" t="s">
        <v>169</v>
      </c>
      <c r="E19" s="14" t="s">
        <v>169</v>
      </c>
      <c r="F19" s="14"/>
    </row>
    <row r="20" spans="1:6">
      <c r="A20" s="7">
        <v>18</v>
      </c>
      <c r="B20" s="7">
        <v>18</v>
      </c>
      <c r="C20" t="str">
        <f>VLOOKUP(B20,_Pitch!$A$2:$B$129,2,FALSE)</f>
        <v>F#-1</v>
      </c>
      <c r="D20" s="14" t="s">
        <v>401</v>
      </c>
      <c r="E20" s="14"/>
      <c r="F20" s="14"/>
    </row>
    <row r="21" spans="1:6">
      <c r="A21" s="7">
        <v>19</v>
      </c>
      <c r="B21" s="7">
        <v>19</v>
      </c>
      <c r="C21" t="str">
        <f>VLOOKUP(B21,_Pitch!$A$2:$B$129,2,FALSE)</f>
        <v>G-1</v>
      </c>
      <c r="D21" s="14" t="s">
        <v>402</v>
      </c>
      <c r="E21" s="14"/>
      <c r="F21" s="14"/>
    </row>
    <row r="22" spans="1:6">
      <c r="A22" s="7">
        <v>20</v>
      </c>
      <c r="B22" s="7">
        <v>20</v>
      </c>
      <c r="C22" t="str">
        <f>VLOOKUP(B22,_Pitch!$A$2:$B$129,2,FALSE)</f>
        <v>G#-1</v>
      </c>
      <c r="D22" s="14" t="s">
        <v>401</v>
      </c>
      <c r="E22" s="14"/>
      <c r="F22" s="14"/>
    </row>
    <row r="23" spans="1:6">
      <c r="A23" s="7">
        <v>21</v>
      </c>
      <c r="B23" s="7">
        <v>21</v>
      </c>
      <c r="C23" t="str">
        <f>VLOOKUP(B23,_Pitch!$A$2:$B$129,2,FALSE)</f>
        <v>A-1</v>
      </c>
      <c r="D23" s="14" t="s">
        <v>1068</v>
      </c>
      <c r="E23" s="14" t="s">
        <v>1068</v>
      </c>
      <c r="F23" s="14" t="s">
        <v>290</v>
      </c>
    </row>
    <row r="24" spans="1:6">
      <c r="A24" s="7">
        <v>22</v>
      </c>
      <c r="B24" s="7">
        <v>22</v>
      </c>
      <c r="C24" t="str">
        <f>VLOOKUP(B24,_Pitch!$A$2:$B$129,2,FALSE)</f>
        <v>A#-1</v>
      </c>
      <c r="D24" s="14" t="s">
        <v>149</v>
      </c>
      <c r="E24" s="14" t="s">
        <v>149</v>
      </c>
      <c r="F24" s="14"/>
    </row>
    <row r="25" spans="1:6">
      <c r="A25" s="7">
        <v>23</v>
      </c>
      <c r="B25" s="7">
        <v>23</v>
      </c>
      <c r="C25" t="str">
        <f>VLOOKUP(B25,_Pitch!$A$2:$B$129,2,FALSE)</f>
        <v>B-1</v>
      </c>
      <c r="D25" s="14" t="s">
        <v>403</v>
      </c>
      <c r="E25" s="14" t="s">
        <v>403</v>
      </c>
      <c r="F25" s="14"/>
    </row>
    <row r="26" spans="1:6">
      <c r="A26" s="7">
        <v>24</v>
      </c>
      <c r="B26" s="7">
        <v>24</v>
      </c>
      <c r="C26" t="str">
        <f>VLOOKUP(B26,_Pitch!$A$2:$B$129,2,FALSE)</f>
        <v>C0</v>
      </c>
      <c r="D26" s="14" t="s">
        <v>159</v>
      </c>
      <c r="E26" s="14" t="s">
        <v>159</v>
      </c>
      <c r="F26" s="14"/>
    </row>
    <row r="27" spans="1:6">
      <c r="A27" s="7">
        <v>25</v>
      </c>
      <c r="B27" s="7">
        <v>25</v>
      </c>
      <c r="C27" t="str">
        <f>VLOOKUP(B27,_Pitch!$A$2:$B$129,2,FALSE)</f>
        <v>C#0</v>
      </c>
      <c r="D27" s="14" t="s">
        <v>160</v>
      </c>
      <c r="E27" s="14" t="s">
        <v>160</v>
      </c>
      <c r="F27" s="14" t="s">
        <v>290</v>
      </c>
    </row>
    <row r="28" spans="1:6">
      <c r="A28" s="7">
        <v>26</v>
      </c>
      <c r="B28" s="7">
        <v>26</v>
      </c>
      <c r="C28" t="str">
        <f>VLOOKUP(B28,_Pitch!$A$2:$B$129,2,FALSE)</f>
        <v>D0</v>
      </c>
      <c r="D28" s="14" t="s">
        <v>161</v>
      </c>
      <c r="E28" s="14" t="s">
        <v>161</v>
      </c>
      <c r="F28" s="14"/>
    </row>
    <row r="29" spans="1:6">
      <c r="A29" s="7">
        <v>27</v>
      </c>
      <c r="B29" s="7">
        <v>27</v>
      </c>
      <c r="C29" t="str">
        <f>VLOOKUP(B29,_Pitch!$A$2:$B$129,2,FALSE)</f>
        <v>D#0</v>
      </c>
      <c r="D29" s="14" t="s">
        <v>420</v>
      </c>
      <c r="E29" s="14" t="s">
        <v>206</v>
      </c>
      <c r="F29" s="14"/>
    </row>
    <row r="30" spans="1:6">
      <c r="A30" s="7">
        <v>28</v>
      </c>
      <c r="B30" s="7">
        <v>28</v>
      </c>
      <c r="C30" t="str">
        <f>VLOOKUP(B30,_Pitch!$A$2:$B$129,2,FALSE)</f>
        <v>E0</v>
      </c>
      <c r="D30" s="14" t="s">
        <v>404</v>
      </c>
      <c r="E30" s="14" t="s">
        <v>568</v>
      </c>
      <c r="F30" s="14" t="s">
        <v>290</v>
      </c>
    </row>
    <row r="31" spans="1:6">
      <c r="A31" s="7">
        <v>29</v>
      </c>
      <c r="B31" s="7">
        <v>29</v>
      </c>
      <c r="C31" t="str">
        <f>VLOOKUP(B31,_Pitch!$A$2:$B$129,2,FALSE)</f>
        <v>F0</v>
      </c>
      <c r="D31" s="14" t="s">
        <v>421</v>
      </c>
      <c r="E31" s="14" t="s">
        <v>175</v>
      </c>
      <c r="F31" s="14" t="s">
        <v>290</v>
      </c>
    </row>
    <row r="32" spans="1:6">
      <c r="A32" s="7">
        <v>30</v>
      </c>
      <c r="B32" s="7">
        <v>30</v>
      </c>
      <c r="C32" t="str">
        <f>VLOOKUP(B32,_Pitch!$A$2:$B$129,2,FALSE)</f>
        <v>F#0</v>
      </c>
      <c r="D32" s="14" t="s">
        <v>263</v>
      </c>
      <c r="E32" s="14" t="s">
        <v>181</v>
      </c>
      <c r="F32" s="14" t="s">
        <v>290</v>
      </c>
    </row>
    <row r="33" spans="1:6">
      <c r="A33" s="7">
        <v>31</v>
      </c>
      <c r="B33" s="7">
        <v>31</v>
      </c>
      <c r="C33" t="str">
        <f>VLOOKUP(B33,_Pitch!$A$2:$B$129,2,FALSE)</f>
        <v>G0</v>
      </c>
      <c r="D33" s="14" t="s">
        <v>422</v>
      </c>
      <c r="E33" s="14" t="s">
        <v>212</v>
      </c>
      <c r="F33" s="14"/>
    </row>
    <row r="34" spans="1:6">
      <c r="A34" s="7">
        <v>32</v>
      </c>
      <c r="B34" s="7">
        <v>32</v>
      </c>
      <c r="C34" t="str">
        <f>VLOOKUP(B34,_Pitch!$A$2:$B$129,2,FALSE)</f>
        <v>G#0</v>
      </c>
      <c r="D34" s="14" t="s">
        <v>407</v>
      </c>
      <c r="E34" s="14" t="s">
        <v>569</v>
      </c>
      <c r="F34" s="14" t="s">
        <v>290</v>
      </c>
    </row>
    <row r="35" spans="1:6">
      <c r="A35" s="7">
        <v>33</v>
      </c>
      <c r="B35" s="7">
        <v>33</v>
      </c>
      <c r="C35" t="str">
        <f>VLOOKUP(B35,_Pitch!$A$2:$B$129,2,FALSE)</f>
        <v>A0</v>
      </c>
      <c r="D35" s="14" t="s">
        <v>139</v>
      </c>
      <c r="E35" s="14" t="s">
        <v>139</v>
      </c>
      <c r="F35" s="14"/>
    </row>
    <row r="36" spans="1:6">
      <c r="A36" s="7">
        <v>34</v>
      </c>
      <c r="B36" s="7">
        <v>34</v>
      </c>
      <c r="C36" t="str">
        <f>VLOOKUP(B36,_Pitch!$A$2:$B$129,2,FALSE)</f>
        <v>A#0</v>
      </c>
      <c r="D36" s="14" t="s">
        <v>135</v>
      </c>
      <c r="E36" s="14" t="s">
        <v>133</v>
      </c>
      <c r="F36" s="14" t="s">
        <v>290</v>
      </c>
    </row>
    <row r="37" spans="1:6">
      <c r="A37" s="7">
        <v>35</v>
      </c>
      <c r="B37" s="7">
        <v>35</v>
      </c>
      <c r="C37" t="str">
        <f>VLOOKUP(B37,_Pitch!$A$2:$B$129,2,FALSE)</f>
        <v>B0</v>
      </c>
      <c r="D37" s="14" t="s">
        <v>135</v>
      </c>
      <c r="E37" s="14" t="s">
        <v>135</v>
      </c>
      <c r="F37" s="14" t="s">
        <v>290</v>
      </c>
    </row>
    <row r="38" spans="1:6">
      <c r="A38" s="7">
        <v>36</v>
      </c>
      <c r="B38" s="7">
        <v>36</v>
      </c>
      <c r="C38" t="str">
        <f>VLOOKUP(B38,_Pitch!$A$2:$B$129,2,FALSE)</f>
        <v>C1</v>
      </c>
      <c r="D38" s="14" t="s">
        <v>135</v>
      </c>
      <c r="E38" s="14" t="s">
        <v>133</v>
      </c>
      <c r="F38" s="14"/>
    </row>
    <row r="39" spans="1:6">
      <c r="A39" s="7">
        <v>37</v>
      </c>
      <c r="B39" s="7">
        <v>37</v>
      </c>
      <c r="C39" t="str">
        <f>VLOOKUP(B39,_Pitch!$A$2:$B$129,2,FALSE)</f>
        <v>C#1</v>
      </c>
      <c r="D39" s="14" t="s">
        <v>145</v>
      </c>
      <c r="E39" s="14" t="s">
        <v>145</v>
      </c>
      <c r="F39" s="14"/>
    </row>
    <row r="40" spans="1:6">
      <c r="A40" s="7">
        <v>38</v>
      </c>
      <c r="B40" s="7">
        <v>38</v>
      </c>
      <c r="C40" t="str">
        <f>VLOOKUP(B40,_Pitch!$A$2:$B$129,2,FALSE)</f>
        <v>D1</v>
      </c>
      <c r="D40" s="14" t="s">
        <v>136</v>
      </c>
      <c r="E40" s="14" t="s">
        <v>561</v>
      </c>
      <c r="F40" s="14"/>
    </row>
    <row r="41" spans="1:6">
      <c r="A41" s="7">
        <v>39</v>
      </c>
      <c r="B41" s="7">
        <v>39</v>
      </c>
      <c r="C41" t="str">
        <f>VLOOKUP(B41,_Pitch!$A$2:$B$129,2,FALSE)</f>
        <v>D#1</v>
      </c>
      <c r="D41" s="14" t="s">
        <v>136</v>
      </c>
      <c r="E41" s="14" t="s">
        <v>561</v>
      </c>
      <c r="F41" s="14" t="s">
        <v>290</v>
      </c>
    </row>
    <row r="42" spans="1:6">
      <c r="A42" s="7">
        <v>40</v>
      </c>
      <c r="B42" s="7">
        <v>40</v>
      </c>
      <c r="C42" t="str">
        <f>VLOOKUP(B42,_Pitch!$A$2:$B$129,2,FALSE)</f>
        <v>E1</v>
      </c>
      <c r="D42" s="14" t="s">
        <v>234</v>
      </c>
      <c r="E42" s="14" t="s">
        <v>1077</v>
      </c>
      <c r="F42" s="14"/>
    </row>
    <row r="43" spans="1:6">
      <c r="A43" s="7">
        <v>41</v>
      </c>
      <c r="B43" s="7">
        <v>41</v>
      </c>
      <c r="C43" t="str">
        <f>VLOOKUP(B43,_Pitch!$A$2:$B$129,2,FALSE)</f>
        <v>F1</v>
      </c>
      <c r="D43" s="14" t="s">
        <v>201</v>
      </c>
      <c r="E43" s="14" t="s">
        <v>557</v>
      </c>
      <c r="F43" s="14"/>
    </row>
    <row r="44" spans="1:6">
      <c r="A44" s="7">
        <v>42</v>
      </c>
      <c r="B44" s="7">
        <v>42</v>
      </c>
      <c r="C44" t="str">
        <f>VLOOKUP(B44,_Pitch!$A$2:$B$129,2,FALSE)</f>
        <v>F#1</v>
      </c>
      <c r="D44" s="14" t="s">
        <v>153</v>
      </c>
      <c r="E44" s="14" t="s">
        <v>153</v>
      </c>
      <c r="F44" s="14"/>
    </row>
    <row r="45" spans="1:6">
      <c r="A45" s="7">
        <v>43</v>
      </c>
      <c r="B45" s="7">
        <v>43</v>
      </c>
      <c r="C45" t="str">
        <f>VLOOKUP(B45,_Pitch!$A$2:$B$129,2,FALSE)</f>
        <v>G1</v>
      </c>
      <c r="D45" s="14" t="s">
        <v>196</v>
      </c>
      <c r="E45" s="14" t="s">
        <v>558</v>
      </c>
      <c r="F45" s="14"/>
    </row>
    <row r="46" spans="1:6">
      <c r="A46" s="7">
        <v>44</v>
      </c>
      <c r="B46" s="7">
        <v>44</v>
      </c>
      <c r="C46" t="str">
        <f>VLOOKUP(B46,_Pitch!$A$2:$B$129,2,FALSE)</f>
        <v>G#1</v>
      </c>
      <c r="D46" s="14" t="s">
        <v>1068</v>
      </c>
      <c r="E46" s="14" t="s">
        <v>1068</v>
      </c>
      <c r="F46" s="14"/>
    </row>
    <row r="47" spans="1:6">
      <c r="A47" s="7">
        <v>45</v>
      </c>
      <c r="B47" s="7">
        <v>45</v>
      </c>
      <c r="C47" t="str">
        <f>VLOOKUP(B47,_Pitch!$A$2:$B$129,2,FALSE)</f>
        <v>A1</v>
      </c>
      <c r="D47" s="14" t="s">
        <v>1010</v>
      </c>
      <c r="E47" s="14" t="s">
        <v>239</v>
      </c>
      <c r="F47" s="14"/>
    </row>
    <row r="48" spans="1:6">
      <c r="A48" s="7">
        <v>46</v>
      </c>
      <c r="B48" s="7">
        <v>46</v>
      </c>
      <c r="C48" t="str">
        <f>VLOOKUP(B48,_Pitch!$A$2:$B$129,2,FALSE)</f>
        <v>A#1</v>
      </c>
      <c r="D48" s="14" t="s">
        <v>160</v>
      </c>
      <c r="E48" s="14" t="s">
        <v>160</v>
      </c>
      <c r="F48" s="14"/>
    </row>
    <row r="49" spans="1:6">
      <c r="A49" s="7">
        <v>47</v>
      </c>
      <c r="B49" s="7">
        <v>47</v>
      </c>
      <c r="C49" t="str">
        <f>VLOOKUP(B49,_Pitch!$A$2:$B$129,2,FALSE)</f>
        <v>B1</v>
      </c>
      <c r="D49" s="14" t="s">
        <v>1005</v>
      </c>
      <c r="E49" s="14" t="s">
        <v>559</v>
      </c>
      <c r="F49" s="14"/>
    </row>
    <row r="50" spans="1:6">
      <c r="A50" s="7">
        <v>48</v>
      </c>
      <c r="B50" s="7">
        <v>48</v>
      </c>
      <c r="C50" t="str">
        <f>VLOOKUP(B50,_Pitch!$A$2:$B$129,2,FALSE)</f>
        <v>C2</v>
      </c>
      <c r="D50" s="14" t="s">
        <v>1000</v>
      </c>
      <c r="E50" s="14" t="s">
        <v>560</v>
      </c>
      <c r="F50" s="14"/>
    </row>
    <row r="51" spans="1:6">
      <c r="A51" s="7">
        <v>49</v>
      </c>
      <c r="B51" s="7">
        <v>49</v>
      </c>
      <c r="C51" t="str">
        <f>VLOOKUP(B51,_Pitch!$A$2:$B$129,2,FALSE)</f>
        <v>C#2</v>
      </c>
      <c r="D51" s="14" t="s">
        <v>404</v>
      </c>
      <c r="E51" s="14" t="s">
        <v>568</v>
      </c>
      <c r="F51" s="14"/>
    </row>
    <row r="52" spans="1:6">
      <c r="A52" s="7">
        <v>50</v>
      </c>
      <c r="B52" s="7">
        <v>50</v>
      </c>
      <c r="C52" t="str">
        <f>VLOOKUP(B52,_Pitch!$A$2:$B$129,2,FALSE)</f>
        <v>D2</v>
      </c>
      <c r="D52" s="14" t="s">
        <v>408</v>
      </c>
      <c r="E52" s="14" t="s">
        <v>210</v>
      </c>
      <c r="F52" s="14"/>
    </row>
    <row r="53" spans="1:6">
      <c r="A53" s="7">
        <v>51</v>
      </c>
      <c r="B53" s="7">
        <v>51</v>
      </c>
      <c r="C53" t="str">
        <f>VLOOKUP(B53,_Pitch!$A$2:$B$129,2,FALSE)</f>
        <v>D#2</v>
      </c>
      <c r="D53" s="14" t="s">
        <v>421</v>
      </c>
      <c r="E53" s="14" t="s">
        <v>175</v>
      </c>
      <c r="F53" s="14"/>
    </row>
    <row r="54" spans="1:6">
      <c r="A54" s="7">
        <v>52</v>
      </c>
      <c r="B54" s="7">
        <v>52</v>
      </c>
      <c r="C54" t="str">
        <f>VLOOKUP(B54,_Pitch!$A$2:$B$129,2,FALSE)</f>
        <v>E2</v>
      </c>
      <c r="D54" s="14" t="s">
        <v>412</v>
      </c>
      <c r="E54" s="14" t="s">
        <v>182</v>
      </c>
      <c r="F54" s="14" t="s">
        <v>290</v>
      </c>
    </row>
    <row r="55" spans="1:6">
      <c r="A55" s="7">
        <v>53</v>
      </c>
      <c r="B55" s="7">
        <v>53</v>
      </c>
      <c r="C55" t="str">
        <f>VLOOKUP(B55,_Pitch!$A$2:$B$129,2,FALSE)</f>
        <v>F2</v>
      </c>
      <c r="D55" s="14" t="s">
        <v>263</v>
      </c>
      <c r="E55" s="14" t="s">
        <v>181</v>
      </c>
      <c r="F55" s="14"/>
    </row>
    <row r="56" spans="1:6">
      <c r="A56" s="7">
        <v>54</v>
      </c>
      <c r="B56" s="7">
        <v>54</v>
      </c>
      <c r="C56" t="str">
        <f>VLOOKUP(B56,_Pitch!$A$2:$B$129,2,FALSE)</f>
        <v>F#2</v>
      </c>
      <c r="D56" s="14" t="s">
        <v>419</v>
      </c>
      <c r="E56" s="14" t="s">
        <v>183</v>
      </c>
      <c r="F56" s="14"/>
    </row>
    <row r="57" spans="1:6">
      <c r="A57" s="7">
        <v>55</v>
      </c>
      <c r="B57" s="7">
        <v>55</v>
      </c>
      <c r="C57" t="str">
        <f>VLOOKUP(B57,_Pitch!$A$2:$B$129,2,FALSE)</f>
        <v>G2</v>
      </c>
      <c r="D57" s="14" t="s">
        <v>414</v>
      </c>
      <c r="E57" s="14" t="s">
        <v>937</v>
      </c>
      <c r="F57" s="14"/>
    </row>
    <row r="58" spans="1:6">
      <c r="A58" s="7">
        <v>56</v>
      </c>
      <c r="B58" s="7">
        <v>56</v>
      </c>
      <c r="C58" t="str">
        <f>VLOOKUP(B58,_Pitch!$A$2:$B$129,2,FALSE)</f>
        <v>G#2</v>
      </c>
      <c r="D58" s="14" t="s">
        <v>413</v>
      </c>
      <c r="E58" s="14" t="s">
        <v>384</v>
      </c>
      <c r="F58" s="14" t="s">
        <v>290</v>
      </c>
    </row>
    <row r="59" spans="1:6">
      <c r="A59" s="7">
        <v>57</v>
      </c>
      <c r="B59" s="7">
        <v>57</v>
      </c>
      <c r="C59" t="str">
        <f>VLOOKUP(B59,_Pitch!$A$2:$B$129,2,FALSE)</f>
        <v>A2</v>
      </c>
      <c r="D59" s="14" t="s">
        <v>407</v>
      </c>
      <c r="E59" s="14" t="s">
        <v>569</v>
      </c>
      <c r="F59" s="14"/>
    </row>
    <row r="60" spans="1:6">
      <c r="A60" s="7">
        <v>58</v>
      </c>
      <c r="B60" s="7">
        <v>58</v>
      </c>
      <c r="C60" t="str">
        <f>VLOOKUP(B60,_Pitch!$A$2:$B$129,2,FALSE)</f>
        <v>A#2</v>
      </c>
      <c r="D60" s="14" t="s">
        <v>411</v>
      </c>
      <c r="E60" s="14" t="s">
        <v>216</v>
      </c>
      <c r="F60" s="14"/>
    </row>
    <row r="61" spans="1:6">
      <c r="A61" s="7">
        <v>59</v>
      </c>
      <c r="B61" s="7">
        <v>59</v>
      </c>
      <c r="C61" t="str">
        <f>VLOOKUP(B61,_Pitch!$A$2:$B$129,2,FALSE)</f>
        <v>B2</v>
      </c>
      <c r="D61" s="14" t="s">
        <v>412</v>
      </c>
      <c r="E61" s="14" t="s">
        <v>182</v>
      </c>
      <c r="F61" s="14"/>
    </row>
    <row r="62" spans="1:6">
      <c r="A62" s="7">
        <v>60</v>
      </c>
      <c r="B62" s="7">
        <v>60</v>
      </c>
      <c r="C62" t="str">
        <f>VLOOKUP(B62,_Pitch!$A$2:$B$129,2,FALSE)</f>
        <v>C3</v>
      </c>
      <c r="D62" s="14" t="s">
        <v>162</v>
      </c>
      <c r="E62" s="14" t="s">
        <v>162</v>
      </c>
      <c r="F62" s="14"/>
    </row>
    <row r="63" spans="1:6">
      <c r="A63" s="7">
        <v>61</v>
      </c>
      <c r="B63" s="7">
        <v>61</v>
      </c>
      <c r="C63" t="str">
        <f>VLOOKUP(B63,_Pitch!$A$2:$B$129,2,FALSE)</f>
        <v>C#3</v>
      </c>
      <c r="D63" s="14" t="s">
        <v>153</v>
      </c>
      <c r="E63" s="14" t="s">
        <v>153</v>
      </c>
      <c r="F63" s="14" t="s">
        <v>290</v>
      </c>
    </row>
    <row r="64" spans="1:6">
      <c r="A64" s="7">
        <v>62</v>
      </c>
      <c r="B64" s="7">
        <v>62</v>
      </c>
      <c r="C64" t="str">
        <f>VLOOKUP(B64,_Pitch!$A$2:$B$129,2,FALSE)</f>
        <v>D3</v>
      </c>
      <c r="D64" s="14" t="s">
        <v>151</v>
      </c>
      <c r="E64" s="14" t="s">
        <v>151</v>
      </c>
      <c r="F64" s="14"/>
    </row>
    <row r="65" spans="1:6">
      <c r="A65" s="7">
        <v>63</v>
      </c>
      <c r="B65" s="7">
        <v>63</v>
      </c>
      <c r="C65" t="str">
        <f>VLOOKUP(B65,_Pitch!$A$2:$B$129,2,FALSE)</f>
        <v>D#3</v>
      </c>
      <c r="D65" s="14" t="s">
        <v>154</v>
      </c>
      <c r="E65" s="14" t="s">
        <v>154</v>
      </c>
      <c r="F65" s="14"/>
    </row>
    <row r="66" spans="1:6">
      <c r="A66" s="7">
        <v>64</v>
      </c>
      <c r="B66" s="7">
        <v>64</v>
      </c>
      <c r="C66" t="str">
        <f>VLOOKUP(B66,_Pitch!$A$2:$B$129,2,FALSE)</f>
        <v>E3</v>
      </c>
      <c r="D66" s="14" t="s">
        <v>156</v>
      </c>
      <c r="E66" s="14" t="s">
        <v>156</v>
      </c>
      <c r="F66" s="14"/>
    </row>
    <row r="67" spans="1:6">
      <c r="A67" s="7">
        <v>65</v>
      </c>
      <c r="B67" s="7">
        <v>65</v>
      </c>
      <c r="C67" t="str">
        <f>VLOOKUP(B67,_Pitch!$A$2:$B$129,2,FALSE)</f>
        <v>F3</v>
      </c>
      <c r="D67" s="14" t="s">
        <v>149</v>
      </c>
      <c r="E67" s="14" t="s">
        <v>149</v>
      </c>
      <c r="F67" s="14" t="s">
        <v>290</v>
      </c>
    </row>
    <row r="68" spans="1:6">
      <c r="A68" s="7">
        <v>66</v>
      </c>
      <c r="B68" s="7">
        <v>66</v>
      </c>
      <c r="C68" t="str">
        <f>VLOOKUP(B68,_Pitch!$A$2:$B$129,2,FALSE)</f>
        <v>F#3</v>
      </c>
      <c r="D68" s="14" t="s">
        <v>136</v>
      </c>
      <c r="E68" s="14" t="s">
        <v>561</v>
      </c>
      <c r="F68" s="14" t="s">
        <v>290</v>
      </c>
    </row>
    <row r="69" spans="1:6">
      <c r="A69" s="7">
        <v>67</v>
      </c>
      <c r="B69" s="7">
        <v>67</v>
      </c>
      <c r="C69" t="str">
        <f>VLOOKUP(B69,_Pitch!$A$2:$B$129,2,FALSE)</f>
        <v>G3</v>
      </c>
      <c r="D69" s="14" t="s">
        <v>145</v>
      </c>
      <c r="E69" s="14" t="s">
        <v>145</v>
      </c>
      <c r="F69" s="14" t="s">
        <v>290</v>
      </c>
    </row>
    <row r="70" spans="1:6">
      <c r="A70" s="7">
        <v>68</v>
      </c>
      <c r="B70" s="7">
        <v>68</v>
      </c>
      <c r="C70" t="str">
        <f>VLOOKUP(B70,_Pitch!$A$2:$B$129,2,FALSE)</f>
        <v>G#3</v>
      </c>
      <c r="D70" s="14" t="s">
        <v>136</v>
      </c>
      <c r="E70" s="14" t="s">
        <v>561</v>
      </c>
      <c r="F70" s="14" t="s">
        <v>290</v>
      </c>
    </row>
    <row r="71" spans="1:6">
      <c r="A71" s="7">
        <v>69</v>
      </c>
      <c r="B71" s="7">
        <v>69</v>
      </c>
      <c r="C71" t="str">
        <f>VLOOKUP(B71,_Pitch!$A$2:$B$129,2,FALSE)</f>
        <v>A3</v>
      </c>
      <c r="D71" s="14" t="s">
        <v>136</v>
      </c>
      <c r="E71" s="14" t="s">
        <v>561</v>
      </c>
      <c r="F71" s="14" t="s">
        <v>290</v>
      </c>
    </row>
    <row r="72" spans="1:6">
      <c r="A72" s="7">
        <v>70</v>
      </c>
      <c r="B72" s="7">
        <v>70</v>
      </c>
      <c r="C72" t="str">
        <f>VLOOKUP(B72,_Pitch!$A$2:$B$129,2,FALSE)</f>
        <v>A#3</v>
      </c>
      <c r="D72" s="14" t="s">
        <v>136</v>
      </c>
      <c r="E72" s="14" t="s">
        <v>561</v>
      </c>
      <c r="F72" s="14" t="s">
        <v>290</v>
      </c>
    </row>
    <row r="73" spans="1:6">
      <c r="A73" s="7">
        <v>71</v>
      </c>
      <c r="B73" s="7">
        <v>71</v>
      </c>
      <c r="C73" t="str">
        <f>VLOOKUP(B73,_Pitch!$A$2:$B$129,2,FALSE)</f>
        <v>B3</v>
      </c>
      <c r="D73" s="14" t="s">
        <v>144</v>
      </c>
      <c r="E73" s="14" t="s">
        <v>144</v>
      </c>
      <c r="F73" s="14"/>
    </row>
    <row r="74" spans="1:6">
      <c r="A74" s="7">
        <v>72</v>
      </c>
      <c r="B74" s="7">
        <v>72</v>
      </c>
      <c r="C74" t="str">
        <f>VLOOKUP(B74,_Pitch!$A$2:$B$129,2,FALSE)</f>
        <v>C4</v>
      </c>
      <c r="D74" s="14" t="s">
        <v>204</v>
      </c>
      <c r="E74" s="14" t="s">
        <v>204</v>
      </c>
      <c r="F74" s="14" t="s">
        <v>663</v>
      </c>
    </row>
    <row r="75" spans="1:6">
      <c r="A75" s="7">
        <v>73</v>
      </c>
      <c r="B75" s="7">
        <v>73</v>
      </c>
      <c r="C75" t="str">
        <f>VLOOKUP(B75,_Pitch!$A$2:$B$129,2,FALSE)</f>
        <v>C#4</v>
      </c>
      <c r="D75" s="14" t="s">
        <v>203</v>
      </c>
      <c r="E75" s="14" t="s">
        <v>203</v>
      </c>
      <c r="F75" s="14"/>
    </row>
    <row r="76" spans="1:6">
      <c r="A76" s="7">
        <v>74</v>
      </c>
      <c r="B76" s="7">
        <v>74</v>
      </c>
      <c r="C76" t="str">
        <f>VLOOKUP(B76,_Pitch!$A$2:$B$129,2,FALSE)</f>
        <v>D4</v>
      </c>
      <c r="D76" s="14" t="s">
        <v>199</v>
      </c>
      <c r="E76" s="14" t="s">
        <v>199</v>
      </c>
      <c r="F76" s="14" t="s">
        <v>663</v>
      </c>
    </row>
    <row r="77" spans="1:6">
      <c r="A77" s="7">
        <v>75</v>
      </c>
      <c r="B77" s="7">
        <v>75</v>
      </c>
      <c r="C77" t="str">
        <f>VLOOKUP(B77,_Pitch!$A$2:$B$129,2,FALSE)</f>
        <v>D#4</v>
      </c>
      <c r="D77" s="14" t="s">
        <v>198</v>
      </c>
      <c r="E77" s="14" t="s">
        <v>198</v>
      </c>
      <c r="F77" s="14"/>
    </row>
    <row r="78" spans="1:6">
      <c r="A78" s="7">
        <v>76</v>
      </c>
      <c r="B78" s="7">
        <v>76</v>
      </c>
      <c r="C78" t="str">
        <f>VLOOKUP(B78,_Pitch!$A$2:$B$129,2,FALSE)</f>
        <v>E4</v>
      </c>
      <c r="D78" s="14" t="s">
        <v>144</v>
      </c>
      <c r="E78" s="14" t="s">
        <v>144</v>
      </c>
      <c r="F78" s="14" t="s">
        <v>290</v>
      </c>
    </row>
    <row r="79" spans="1:6">
      <c r="A79" s="7">
        <v>77</v>
      </c>
      <c r="B79" s="7">
        <v>77</v>
      </c>
      <c r="C79" t="str">
        <f>VLOOKUP(B79,_Pitch!$A$2:$B$129,2,FALSE)</f>
        <v>F4</v>
      </c>
      <c r="D79" s="14" t="s">
        <v>1009</v>
      </c>
      <c r="E79" s="14" t="s">
        <v>1009</v>
      </c>
      <c r="F79" s="14" t="s">
        <v>663</v>
      </c>
    </row>
    <row r="80" spans="1:6">
      <c r="A80" s="7">
        <v>78</v>
      </c>
      <c r="B80" s="7">
        <v>78</v>
      </c>
      <c r="C80" t="str">
        <f>VLOOKUP(B80,_Pitch!$A$2:$B$129,2,FALSE)</f>
        <v>F#4</v>
      </c>
      <c r="D80" s="14" t="s">
        <v>193</v>
      </c>
      <c r="E80" s="14" t="s">
        <v>193</v>
      </c>
      <c r="F80" s="14"/>
    </row>
    <row r="81" spans="1:6">
      <c r="A81" s="7">
        <v>79</v>
      </c>
      <c r="B81" s="7">
        <v>79</v>
      </c>
      <c r="C81" t="str">
        <f>VLOOKUP(B81,_Pitch!$A$2:$B$129,2,FALSE)</f>
        <v>G4</v>
      </c>
      <c r="D81" s="14" t="s">
        <v>1003</v>
      </c>
      <c r="E81" s="14" t="s">
        <v>1003</v>
      </c>
      <c r="F81" s="14" t="s">
        <v>663</v>
      </c>
    </row>
    <row r="82" spans="1:6">
      <c r="A82" s="7">
        <v>80</v>
      </c>
      <c r="B82" s="7">
        <v>80</v>
      </c>
      <c r="C82" t="str">
        <f>VLOOKUP(B82,_Pitch!$A$2:$B$129,2,FALSE)</f>
        <v>G#4</v>
      </c>
      <c r="D82" s="14" t="s">
        <v>191</v>
      </c>
      <c r="E82" s="14" t="s">
        <v>191</v>
      </c>
      <c r="F82" s="14"/>
    </row>
    <row r="83" spans="1:6">
      <c r="A83" s="7">
        <v>81</v>
      </c>
      <c r="B83" s="7">
        <v>81</v>
      </c>
      <c r="C83" t="str">
        <f>VLOOKUP(B83,_Pitch!$A$2:$B$129,2,FALSE)</f>
        <v>A4</v>
      </c>
      <c r="D83" s="14" t="s">
        <v>998</v>
      </c>
      <c r="E83" s="14" t="s">
        <v>998</v>
      </c>
      <c r="F83" s="14" t="s">
        <v>663</v>
      </c>
    </row>
    <row r="84" spans="1:6">
      <c r="A84" s="7">
        <v>82</v>
      </c>
      <c r="B84" s="7">
        <v>82</v>
      </c>
      <c r="C84" t="str">
        <f>VLOOKUP(B84,_Pitch!$A$2:$B$129,2,FALSE)</f>
        <v>A#4</v>
      </c>
      <c r="D84" s="14" t="s">
        <v>189</v>
      </c>
      <c r="E84" s="14" t="s">
        <v>189</v>
      </c>
      <c r="F84" s="14"/>
    </row>
    <row r="85" spans="1:6">
      <c r="A85" s="7">
        <v>83</v>
      </c>
      <c r="B85" s="7">
        <v>83</v>
      </c>
      <c r="C85" t="str">
        <f>VLOOKUP(B85,_Pitch!$A$2:$B$129,2,FALSE)</f>
        <v>B4</v>
      </c>
      <c r="D85" s="14" t="s">
        <v>413</v>
      </c>
      <c r="E85" s="14" t="s">
        <v>384</v>
      </c>
      <c r="F85" s="14"/>
    </row>
    <row r="86" spans="1:6">
      <c r="A86" s="7">
        <v>84</v>
      </c>
      <c r="B86" s="7">
        <v>84</v>
      </c>
      <c r="C86" t="str">
        <f>VLOOKUP(B86,_Pitch!$A$2:$B$129,2,FALSE)</f>
        <v>C5</v>
      </c>
      <c r="D86" s="14" t="s">
        <v>423</v>
      </c>
      <c r="E86" s="14" t="s">
        <v>423</v>
      </c>
      <c r="F86" s="14"/>
    </row>
    <row r="87" spans="1:6">
      <c r="A87" s="7">
        <v>85</v>
      </c>
      <c r="B87" s="7">
        <v>85</v>
      </c>
      <c r="C87" t="str">
        <f>VLOOKUP(B87,_Pitch!$A$2:$B$129,2,FALSE)</f>
        <v>C#5</v>
      </c>
      <c r="D87" s="14" t="s">
        <v>263</v>
      </c>
      <c r="E87" s="14" t="s">
        <v>181</v>
      </c>
      <c r="F87" s="14" t="s">
        <v>290</v>
      </c>
    </row>
    <row r="88" spans="1:6">
      <c r="A88" s="7">
        <v>86</v>
      </c>
      <c r="B88" s="7">
        <v>86</v>
      </c>
      <c r="C88" t="str">
        <f>VLOOKUP(B88,_Pitch!$A$2:$B$129,2,FALSE)</f>
        <v>D5</v>
      </c>
      <c r="D88" s="14" t="s">
        <v>414</v>
      </c>
      <c r="E88" s="14" t="s">
        <v>937</v>
      </c>
      <c r="F88" s="14" t="s">
        <v>290</v>
      </c>
    </row>
    <row r="89" spans="1:6">
      <c r="A89" s="7">
        <v>87</v>
      </c>
      <c r="B89" s="7">
        <v>87</v>
      </c>
      <c r="C89" t="str">
        <f>VLOOKUP(B89,_Pitch!$A$2:$B$129,2,FALSE)</f>
        <v>D#5</v>
      </c>
      <c r="D89" s="14" t="s">
        <v>423</v>
      </c>
      <c r="E89" s="14" t="s">
        <v>423</v>
      </c>
      <c r="F89" s="14" t="s">
        <v>290</v>
      </c>
    </row>
    <row r="90" spans="1:6">
      <c r="A90" s="7">
        <v>88</v>
      </c>
      <c r="B90" s="7">
        <v>88</v>
      </c>
      <c r="C90" t="str">
        <f>VLOOKUP(B90,_Pitch!$A$2:$B$129,2,FALSE)</f>
        <v>E5</v>
      </c>
      <c r="D90" s="14" t="s">
        <v>263</v>
      </c>
      <c r="E90" s="14" t="s">
        <v>181</v>
      </c>
      <c r="F90" s="14" t="s">
        <v>290</v>
      </c>
    </row>
    <row r="91" spans="1:6">
      <c r="A91" s="7">
        <v>89</v>
      </c>
      <c r="B91" s="7">
        <v>89</v>
      </c>
      <c r="C91" t="str">
        <f>VLOOKUP(B91,_Pitch!$A$2:$B$129,2,FALSE)</f>
        <v>F5</v>
      </c>
      <c r="D91" s="14" t="s">
        <v>420</v>
      </c>
      <c r="E91" s="14" t="s">
        <v>206</v>
      </c>
      <c r="F91" s="14" t="s">
        <v>290</v>
      </c>
    </row>
    <row r="92" spans="1:6">
      <c r="A92" s="7">
        <v>90</v>
      </c>
      <c r="B92" s="7">
        <v>90</v>
      </c>
      <c r="C92" t="str">
        <f>VLOOKUP(B92,_Pitch!$A$2:$B$129,2,FALSE)</f>
        <v>F#5</v>
      </c>
      <c r="D92" s="14" t="s">
        <v>263</v>
      </c>
      <c r="E92" s="14" t="s">
        <v>181</v>
      </c>
      <c r="F92" s="14" t="s">
        <v>290</v>
      </c>
    </row>
    <row r="93" spans="1:6">
      <c r="A93" s="7">
        <v>91</v>
      </c>
      <c r="B93" s="7">
        <v>91</v>
      </c>
      <c r="C93" t="str">
        <f>VLOOKUP(B93,_Pitch!$A$2:$B$129,2,FALSE)</f>
        <v>G5</v>
      </c>
      <c r="D93" s="14" t="s">
        <v>404</v>
      </c>
      <c r="E93" s="14" t="s">
        <v>568</v>
      </c>
      <c r="F93" s="14" t="s">
        <v>290</v>
      </c>
    </row>
    <row r="94" spans="1:6">
      <c r="A94" s="7">
        <v>92</v>
      </c>
      <c r="B94" s="7">
        <v>92</v>
      </c>
      <c r="C94" t="str">
        <f>VLOOKUP(B94,_Pitch!$A$2:$B$129,2,FALSE)</f>
        <v>G#5</v>
      </c>
      <c r="D94" s="14" t="s">
        <v>263</v>
      </c>
      <c r="E94" s="14" t="s">
        <v>181</v>
      </c>
      <c r="F94" s="14" t="s">
        <v>290</v>
      </c>
    </row>
    <row r="95" spans="1:6">
      <c r="A95" s="7">
        <v>93</v>
      </c>
      <c r="B95" s="7">
        <v>93</v>
      </c>
      <c r="C95" t="str">
        <f>VLOOKUP(B95,_Pitch!$A$2:$B$129,2,FALSE)</f>
        <v>A5</v>
      </c>
      <c r="D95" s="14" t="s">
        <v>263</v>
      </c>
      <c r="E95" s="14" t="s">
        <v>181</v>
      </c>
      <c r="F95" s="14" t="s">
        <v>290</v>
      </c>
    </row>
    <row r="96" spans="1:6">
      <c r="A96" s="7">
        <v>94</v>
      </c>
      <c r="B96" s="7">
        <v>94</v>
      </c>
      <c r="C96" t="str">
        <f>VLOOKUP(B96,_Pitch!$A$2:$B$129,2,FALSE)</f>
        <v>A#5</v>
      </c>
      <c r="D96" s="14" t="s">
        <v>408</v>
      </c>
      <c r="E96" s="14" t="s">
        <v>210</v>
      </c>
      <c r="F96" s="14" t="s">
        <v>290</v>
      </c>
    </row>
    <row r="97" spans="1:6">
      <c r="A97" s="7">
        <v>95</v>
      </c>
      <c r="B97" s="7">
        <v>95</v>
      </c>
      <c r="C97" t="str">
        <f>VLOOKUP(B97,_Pitch!$A$2:$B$129,2,FALSE)</f>
        <v>B5</v>
      </c>
      <c r="D97" s="14" t="s">
        <v>415</v>
      </c>
      <c r="E97" s="14" t="s">
        <v>385</v>
      </c>
      <c r="F97" s="14"/>
    </row>
    <row r="98" spans="1:6">
      <c r="A98" s="7">
        <v>96</v>
      </c>
      <c r="B98" s="7">
        <v>96</v>
      </c>
      <c r="C98" t="str">
        <f>VLOOKUP(B98,_Pitch!$A$2:$B$129,2,FALSE)</f>
        <v>C6</v>
      </c>
      <c r="D98" s="14" t="s">
        <v>424</v>
      </c>
      <c r="E98" s="14" t="s">
        <v>420</v>
      </c>
      <c r="F98" s="14"/>
    </row>
    <row r="99" spans="1:6">
      <c r="A99" s="7">
        <v>97</v>
      </c>
      <c r="B99" s="7">
        <v>97</v>
      </c>
      <c r="C99" t="str">
        <f>VLOOKUP(B99,_Pitch!$A$2:$B$129,2,FALSE)</f>
        <v>C#6</v>
      </c>
      <c r="D99" s="14" t="s">
        <v>263</v>
      </c>
      <c r="E99" s="14" t="s">
        <v>181</v>
      </c>
      <c r="F99" s="14" t="s">
        <v>290</v>
      </c>
    </row>
    <row r="100" spans="1:6">
      <c r="A100" s="7">
        <v>98</v>
      </c>
      <c r="B100" s="7">
        <v>98</v>
      </c>
      <c r="C100" t="str">
        <f>VLOOKUP(B100,_Pitch!$A$2:$B$129,2,FALSE)</f>
        <v>D6</v>
      </c>
      <c r="D100" s="14" t="s">
        <v>417</v>
      </c>
      <c r="E100" s="14" t="s">
        <v>944</v>
      </c>
      <c r="F100" s="14"/>
    </row>
    <row r="101" spans="1:6">
      <c r="A101" s="7">
        <v>99</v>
      </c>
      <c r="B101" s="7">
        <v>99</v>
      </c>
      <c r="C101" t="str">
        <f>VLOOKUP(B101,_Pitch!$A$2:$B$129,2,FALSE)</f>
        <v>D#6</v>
      </c>
      <c r="D101" s="14" t="s">
        <v>415</v>
      </c>
      <c r="E101" s="14" t="s">
        <v>385</v>
      </c>
      <c r="F101" s="14" t="s">
        <v>290</v>
      </c>
    </row>
    <row r="102" spans="1:6">
      <c r="A102" s="7">
        <v>100</v>
      </c>
      <c r="B102" s="7">
        <v>100</v>
      </c>
      <c r="C102" t="str">
        <f>VLOOKUP(B102,_Pitch!$A$2:$B$129,2,FALSE)</f>
        <v>E6</v>
      </c>
      <c r="D102" s="14" t="s">
        <v>263</v>
      </c>
      <c r="E102" s="14" t="s">
        <v>181</v>
      </c>
      <c r="F102" s="14" t="s">
        <v>290</v>
      </c>
    </row>
    <row r="103" spans="1:6">
      <c r="A103" s="7">
        <v>101</v>
      </c>
      <c r="B103" s="7">
        <v>101</v>
      </c>
      <c r="C103" t="str">
        <f>VLOOKUP(B103,_Pitch!$A$2:$B$129,2,FALSE)</f>
        <v>F6</v>
      </c>
      <c r="D103" s="14" t="s">
        <v>422</v>
      </c>
      <c r="E103" s="14" t="s">
        <v>212</v>
      </c>
      <c r="F103" s="14" t="s">
        <v>290</v>
      </c>
    </row>
    <row r="104" spans="1:6">
      <c r="A104" s="7">
        <v>102</v>
      </c>
      <c r="B104" s="7">
        <v>102</v>
      </c>
      <c r="C104" t="str">
        <f>VLOOKUP(B104,_Pitch!$A$2:$B$129,2,FALSE)</f>
        <v>F#6</v>
      </c>
      <c r="D104" s="14" t="s">
        <v>263</v>
      </c>
      <c r="E104" s="14" t="s">
        <v>181</v>
      </c>
      <c r="F104" s="14" t="s">
        <v>290</v>
      </c>
    </row>
    <row r="105" spans="1:6">
      <c r="A105" s="7">
        <v>103</v>
      </c>
      <c r="B105" s="7">
        <v>103</v>
      </c>
      <c r="C105" t="str">
        <f>VLOOKUP(B105,_Pitch!$A$2:$B$129,2,FALSE)</f>
        <v>G6</v>
      </c>
      <c r="D105" s="14" t="s">
        <v>407</v>
      </c>
      <c r="E105" s="14" t="s">
        <v>569</v>
      </c>
      <c r="F105" s="14" t="s">
        <v>290</v>
      </c>
    </row>
    <row r="106" spans="1:6">
      <c r="A106" s="7">
        <v>104</v>
      </c>
      <c r="B106" s="7">
        <v>104</v>
      </c>
      <c r="C106" t="str">
        <f>VLOOKUP(B106,_Pitch!$A$2:$B$129,2,FALSE)</f>
        <v>G#6</v>
      </c>
      <c r="D106" s="14" t="s">
        <v>421</v>
      </c>
      <c r="E106" s="14" t="s">
        <v>175</v>
      </c>
      <c r="F106" s="14" t="s">
        <v>290</v>
      </c>
    </row>
    <row r="107" spans="1:6">
      <c r="A107" s="7">
        <v>105</v>
      </c>
      <c r="B107" s="7">
        <v>105</v>
      </c>
      <c r="C107" t="str">
        <f>VLOOKUP(B107,_Pitch!$A$2:$B$129,2,FALSE)</f>
        <v>A6</v>
      </c>
      <c r="D107" s="14" t="s">
        <v>263</v>
      </c>
      <c r="E107" s="14" t="s">
        <v>181</v>
      </c>
      <c r="F107" s="14" t="s">
        <v>290</v>
      </c>
    </row>
    <row r="108" spans="1:6">
      <c r="A108" s="7">
        <v>106</v>
      </c>
      <c r="B108" s="7">
        <v>106</v>
      </c>
      <c r="C108" t="str">
        <f>VLOOKUP(B108,_Pitch!$A$2:$B$129,2,FALSE)</f>
        <v>A#6</v>
      </c>
      <c r="D108" s="14" t="s">
        <v>411</v>
      </c>
      <c r="E108" s="14" t="s">
        <v>216</v>
      </c>
      <c r="F108" s="14" t="s">
        <v>290</v>
      </c>
    </row>
    <row r="109" spans="1:6">
      <c r="A109" s="7">
        <v>107</v>
      </c>
      <c r="B109" s="7">
        <v>107</v>
      </c>
      <c r="C109" t="str">
        <f>VLOOKUP(B109,_Pitch!$A$2:$B$129,2,FALSE)</f>
        <v>B6</v>
      </c>
      <c r="D109" s="14" t="s">
        <v>411</v>
      </c>
      <c r="E109" s="14" t="s">
        <v>216</v>
      </c>
      <c r="F109" s="14" t="s">
        <v>290</v>
      </c>
    </row>
    <row r="110" spans="1:6">
      <c r="A110" s="7">
        <v>108</v>
      </c>
      <c r="B110" s="7">
        <v>108</v>
      </c>
      <c r="C110" t="str">
        <f>VLOOKUP(B110,_Pitch!$A$2:$B$129,2,FALSE)</f>
        <v>C7</v>
      </c>
      <c r="D110" s="14" t="s">
        <v>421</v>
      </c>
      <c r="E110" s="14" t="s">
        <v>175</v>
      </c>
      <c r="F110" s="14" t="s">
        <v>290</v>
      </c>
    </row>
    <row r="111" spans="1:6">
      <c r="A111" s="7">
        <v>109</v>
      </c>
      <c r="B111" s="7">
        <v>109</v>
      </c>
      <c r="C111" t="str">
        <f>VLOOKUP(B111,_Pitch!$A$2:$B$129,2,FALSE)</f>
        <v>C#7</v>
      </c>
      <c r="D111" s="14" t="s">
        <v>263</v>
      </c>
      <c r="E111" s="14" t="s">
        <v>181</v>
      </c>
      <c r="F111" s="14" t="s">
        <v>290</v>
      </c>
    </row>
    <row r="112" spans="1:6">
      <c r="A112" s="7">
        <v>110</v>
      </c>
      <c r="B112" s="7">
        <v>110</v>
      </c>
      <c r="C112" t="str">
        <f>VLOOKUP(B112,_Pitch!$A$2:$B$129,2,FALSE)</f>
        <v>D7</v>
      </c>
      <c r="D112" s="14" t="s">
        <v>412</v>
      </c>
      <c r="E112" s="14" t="s">
        <v>182</v>
      </c>
      <c r="F112" s="14" t="s">
        <v>290</v>
      </c>
    </row>
    <row r="113" spans="1:6">
      <c r="A113" s="7">
        <v>111</v>
      </c>
      <c r="B113" s="7">
        <v>111</v>
      </c>
      <c r="C113" t="str">
        <f>VLOOKUP(B113,_Pitch!$A$2:$B$129,2,FALSE)</f>
        <v>D#7</v>
      </c>
      <c r="D113" s="14" t="s">
        <v>421</v>
      </c>
      <c r="E113" s="14" t="s">
        <v>175</v>
      </c>
      <c r="F113" s="14" t="s">
        <v>290</v>
      </c>
    </row>
    <row r="114" spans="1:6">
      <c r="A114" s="7">
        <v>112</v>
      </c>
      <c r="B114" s="7">
        <v>112</v>
      </c>
      <c r="C114" t="str">
        <f>VLOOKUP(B114,_Pitch!$A$2:$B$129,2,FALSE)</f>
        <v>E7</v>
      </c>
      <c r="D114" s="14" t="s">
        <v>263</v>
      </c>
      <c r="E114" s="14" t="s">
        <v>181</v>
      </c>
      <c r="F114" s="14" t="s">
        <v>290</v>
      </c>
    </row>
    <row r="115" spans="1:6">
      <c r="A115" s="7">
        <v>113</v>
      </c>
      <c r="B115" s="7">
        <v>113</v>
      </c>
      <c r="C115" t="str">
        <f>VLOOKUP(B115,_Pitch!$A$2:$B$129,2,FALSE)</f>
        <v>F7</v>
      </c>
      <c r="D115" s="14" t="s">
        <v>421</v>
      </c>
      <c r="E115" s="14" t="s">
        <v>175</v>
      </c>
      <c r="F115" s="14" t="s">
        <v>290</v>
      </c>
    </row>
    <row r="116" spans="1:6">
      <c r="A116" s="7">
        <v>114</v>
      </c>
      <c r="B116" s="7">
        <v>114</v>
      </c>
      <c r="C116" t="str">
        <f>VLOOKUP(B116,_Pitch!$A$2:$B$129,2,FALSE)</f>
        <v>F#7</v>
      </c>
      <c r="D116" s="14" t="s">
        <v>263</v>
      </c>
      <c r="E116" s="14" t="s">
        <v>181</v>
      </c>
      <c r="F116" s="14" t="s">
        <v>290</v>
      </c>
    </row>
    <row r="117" spans="1:6">
      <c r="A117" s="7">
        <v>115</v>
      </c>
      <c r="B117" s="7">
        <v>115</v>
      </c>
      <c r="C117" t="str">
        <f>VLOOKUP(B117,_Pitch!$A$2:$B$129,2,FALSE)</f>
        <v>G7</v>
      </c>
      <c r="D117" s="14" t="s">
        <v>412</v>
      </c>
      <c r="E117" s="14" t="s">
        <v>182</v>
      </c>
      <c r="F117" s="14" t="s">
        <v>290</v>
      </c>
    </row>
    <row r="118" spans="1:6">
      <c r="A118" s="7">
        <v>116</v>
      </c>
      <c r="B118" s="7">
        <v>116</v>
      </c>
      <c r="C118" t="str">
        <f>VLOOKUP(B118,_Pitch!$A$2:$B$129,2,FALSE)</f>
        <v>G#7</v>
      </c>
      <c r="D118" s="14" t="s">
        <v>421</v>
      </c>
      <c r="E118" s="14" t="s">
        <v>175</v>
      </c>
      <c r="F118" s="14" t="s">
        <v>290</v>
      </c>
    </row>
    <row r="119" spans="1:6">
      <c r="A119" s="7">
        <v>117</v>
      </c>
      <c r="B119" s="7">
        <v>117</v>
      </c>
      <c r="C119" t="str">
        <f>VLOOKUP(B119,_Pitch!$A$2:$B$129,2,FALSE)</f>
        <v>A7</v>
      </c>
      <c r="D119" s="14" t="s">
        <v>263</v>
      </c>
      <c r="E119" s="14" t="s">
        <v>181</v>
      </c>
      <c r="F119" s="14" t="s">
        <v>290</v>
      </c>
    </row>
    <row r="120" spans="1:6">
      <c r="A120" s="7">
        <v>118</v>
      </c>
      <c r="B120" s="7">
        <v>118</v>
      </c>
      <c r="C120" t="str">
        <f>VLOOKUP(B120,_Pitch!$A$2:$B$129,2,FALSE)</f>
        <v>A#7</v>
      </c>
      <c r="D120" s="14" t="s">
        <v>419</v>
      </c>
      <c r="E120" s="14" t="s">
        <v>183</v>
      </c>
      <c r="F120" s="14" t="s">
        <v>290</v>
      </c>
    </row>
    <row r="121" spans="1:6">
      <c r="A121" s="7">
        <v>119</v>
      </c>
      <c r="B121" s="7">
        <v>119</v>
      </c>
      <c r="C121" t="str">
        <f>VLOOKUP(B121,_Pitch!$A$2:$B$129,2,FALSE)</f>
        <v>B7</v>
      </c>
      <c r="D121" s="14" t="s">
        <v>153</v>
      </c>
      <c r="E121" s="14" t="s">
        <v>153</v>
      </c>
      <c r="F121" s="14" t="s">
        <v>290</v>
      </c>
    </row>
    <row r="122" spans="1:6">
      <c r="A122" s="7">
        <v>120</v>
      </c>
      <c r="B122" s="7">
        <v>120</v>
      </c>
      <c r="C122" t="str">
        <f>VLOOKUP(B122,_Pitch!$A$2:$B$129,2,FALSE)</f>
        <v>C8</v>
      </c>
      <c r="D122" s="14" t="s">
        <v>156</v>
      </c>
      <c r="E122" s="14" t="s">
        <v>156</v>
      </c>
      <c r="F122" s="14" t="s">
        <v>290</v>
      </c>
    </row>
    <row r="123" spans="1:6">
      <c r="A123" s="7">
        <v>121</v>
      </c>
      <c r="B123" s="7">
        <v>121</v>
      </c>
      <c r="C123" t="str">
        <f>VLOOKUP(B123,_Pitch!$A$2:$B$129,2,FALSE)</f>
        <v>C#8</v>
      </c>
      <c r="D123" s="14" t="s">
        <v>162</v>
      </c>
      <c r="E123" s="14" t="s">
        <v>162</v>
      </c>
      <c r="F123" s="14" t="s">
        <v>290</v>
      </c>
    </row>
    <row r="124" spans="1:6">
      <c r="A124" s="7">
        <v>122</v>
      </c>
      <c r="B124" s="7">
        <v>122</v>
      </c>
      <c r="C124" t="str">
        <f>VLOOKUP(B124,_Pitch!$A$2:$B$129,2,FALSE)</f>
        <v>D8</v>
      </c>
      <c r="D124" s="14" t="s">
        <v>149</v>
      </c>
      <c r="E124" s="14" t="s">
        <v>149</v>
      </c>
      <c r="F124" s="14" t="s">
        <v>290</v>
      </c>
    </row>
    <row r="125" spans="1:6">
      <c r="A125" s="7">
        <v>123</v>
      </c>
      <c r="B125" s="7">
        <v>123</v>
      </c>
      <c r="C125" t="str">
        <f>VLOOKUP(B125,_Pitch!$A$2:$B$129,2,FALSE)</f>
        <v>D#8</v>
      </c>
      <c r="D125" s="14" t="s">
        <v>160</v>
      </c>
      <c r="E125" s="14" t="s">
        <v>160</v>
      </c>
      <c r="F125" s="14" t="s">
        <v>290</v>
      </c>
    </row>
    <row r="126" spans="1:6">
      <c r="A126" s="7">
        <v>124</v>
      </c>
      <c r="B126" s="7">
        <v>124</v>
      </c>
      <c r="C126" t="str">
        <f>VLOOKUP(B126,_Pitch!$A$2:$B$129,2,FALSE)</f>
        <v>E8</v>
      </c>
      <c r="D126" s="14" t="s">
        <v>163</v>
      </c>
      <c r="E126" s="14" t="s">
        <v>163</v>
      </c>
      <c r="F126" s="14"/>
    </row>
    <row r="127" spans="1:6">
      <c r="A127" s="7">
        <v>125</v>
      </c>
      <c r="B127" s="7">
        <v>125</v>
      </c>
      <c r="C127" t="str">
        <f>VLOOKUP(B127,_Pitch!$A$2:$B$129,2,FALSE)</f>
        <v>F8</v>
      </c>
      <c r="D127" s="14" t="s">
        <v>136</v>
      </c>
      <c r="E127" s="14" t="s">
        <v>561</v>
      </c>
      <c r="F127" s="14" t="s">
        <v>290</v>
      </c>
    </row>
    <row r="128" spans="1:6">
      <c r="A128" s="7">
        <v>126</v>
      </c>
      <c r="B128" s="7">
        <v>126</v>
      </c>
      <c r="C128" t="str">
        <f>VLOOKUP(B128,_Pitch!$A$2:$B$129,2,FALSE)</f>
        <v>F#8</v>
      </c>
      <c r="D128" s="14" t="s">
        <v>234</v>
      </c>
      <c r="E128" s="14" t="s">
        <v>1077</v>
      </c>
      <c r="F128" s="14" t="s">
        <v>290</v>
      </c>
    </row>
    <row r="129" spans="1:6">
      <c r="A129" s="7">
        <v>127</v>
      </c>
      <c r="B129" s="7">
        <v>127</v>
      </c>
      <c r="C129" t="str">
        <f>VLOOKUP(B129,_Pitch!$A$2:$B$129,2,FALSE)</f>
        <v>G8</v>
      </c>
      <c r="D129" s="14" t="s">
        <v>145</v>
      </c>
      <c r="E129" s="14" t="s">
        <v>145</v>
      </c>
      <c r="F129" s="14" t="s">
        <v>290</v>
      </c>
    </row>
  </sheetData>
  <autoFilter ref="A1:G129" xr:uid="{640C6E74-50E5-415F-9B03-20E2BA6463CE}"/>
  <phoneticPr fontId="1"/>
  <dataValidations count="1">
    <dataValidation type="list" allowBlank="1" showInputMessage="1" showErrorMessage="1" sqref="F2:F129" xr:uid="{E9F50D79-8608-4BB0-9BAC-308F2289896A}">
      <formula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5887C67D-1FFA-4A88-8CBF-C608A70B7D4B}">
          <x14:formula1>
            <xm:f>_Articulation!$B$2:B$158</xm:f>
          </x14:formula1>
          <xm:sqref>E2:E129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4A6C4-67F8-4588-911E-943C96C8622D}">
  <sheetPr codeName="Sheet8"/>
  <dimension ref="A1:G129"/>
  <sheetViews>
    <sheetView workbookViewId="0">
      <pane ySplit="1" topLeftCell="A2" activePane="bottomLeft" state="frozen"/>
      <selection activeCell="D14" sqref="D14"/>
      <selection pane="bottomLeft" activeCell="D14" sqref="D14"/>
    </sheetView>
  </sheetViews>
  <sheetFormatPr defaultRowHeight="13.5"/>
  <cols>
    <col min="1" max="1" width="4.5" style="7" bestFit="1" customWidth="1"/>
    <col min="2" max="2" width="4.5" bestFit="1" customWidth="1"/>
    <col min="3" max="3" width="5.5" bestFit="1" customWidth="1"/>
    <col min="4" max="4" width="45.625" customWidth="1"/>
    <col min="5" max="5" width="28.25" customWidth="1"/>
    <col min="6" max="6" width="10.25" customWidth="1"/>
  </cols>
  <sheetData>
    <row r="1" spans="1:7" s="6" customFormat="1" ht="141.75" customHeight="1">
      <c r="A1" s="15" t="s">
        <v>130</v>
      </c>
      <c r="B1" s="15" t="s">
        <v>1105</v>
      </c>
      <c r="C1" s="15" t="s">
        <v>1106</v>
      </c>
      <c r="D1" s="16" t="s">
        <v>131</v>
      </c>
      <c r="E1" s="23" t="s">
        <v>132</v>
      </c>
      <c r="F1" s="17" t="s">
        <v>664</v>
      </c>
      <c r="G1" s="15" t="s">
        <v>696</v>
      </c>
    </row>
    <row r="2" spans="1:7">
      <c r="A2" s="7">
        <v>0</v>
      </c>
      <c r="B2" s="7">
        <v>0</v>
      </c>
      <c r="C2" t="str">
        <f>VLOOKUP(B2,_Pitch!$A$2:$B$129,2,FALSE)</f>
        <v>C-2</v>
      </c>
      <c r="D2" s="14"/>
      <c r="E2" s="14"/>
      <c r="F2" s="14"/>
    </row>
    <row r="3" spans="1:7">
      <c r="A3" s="7">
        <v>1</v>
      </c>
      <c r="B3" s="7">
        <v>1</v>
      </c>
      <c r="C3" t="str">
        <f>VLOOKUP(B3,_Pitch!$A$2:$B$129,2,FALSE)</f>
        <v>C#-2</v>
      </c>
      <c r="D3" s="14" t="s">
        <v>397</v>
      </c>
      <c r="E3" s="14"/>
      <c r="F3" s="14"/>
    </row>
    <row r="4" spans="1:7">
      <c r="A4" s="7">
        <v>2</v>
      </c>
      <c r="B4" s="7">
        <v>2</v>
      </c>
      <c r="C4" t="str">
        <f>VLOOKUP(B4,_Pitch!$A$2:$B$129,2,FALSE)</f>
        <v>D-2</v>
      </c>
      <c r="D4" s="14" t="s">
        <v>398</v>
      </c>
      <c r="E4" s="14"/>
      <c r="F4" s="14"/>
    </row>
    <row r="5" spans="1:7">
      <c r="A5" s="7">
        <v>3</v>
      </c>
      <c r="B5" s="7">
        <v>3</v>
      </c>
      <c r="C5" t="str">
        <f>VLOOKUP(B5,_Pitch!$A$2:$B$129,2,FALSE)</f>
        <v>D#-2</v>
      </c>
      <c r="D5" s="14" t="s">
        <v>399</v>
      </c>
      <c r="E5" s="14"/>
      <c r="F5" s="14"/>
    </row>
    <row r="6" spans="1:7">
      <c r="A6" s="7">
        <v>4</v>
      </c>
      <c r="B6" s="7">
        <v>4</v>
      </c>
      <c r="C6" t="str">
        <f>VLOOKUP(B6,_Pitch!$A$2:$B$129,2,FALSE)</f>
        <v>E-2</v>
      </c>
      <c r="D6" s="14"/>
      <c r="E6" s="14"/>
      <c r="F6" s="14"/>
    </row>
    <row r="7" spans="1:7">
      <c r="A7" s="7">
        <v>5</v>
      </c>
      <c r="B7" s="7">
        <v>5</v>
      </c>
      <c r="C7" t="str">
        <f>VLOOKUP(B7,_Pitch!$A$2:$B$129,2,FALSE)</f>
        <v>F-2</v>
      </c>
      <c r="D7" s="14"/>
      <c r="E7" s="14"/>
      <c r="F7" s="14"/>
    </row>
    <row r="8" spans="1:7">
      <c r="A8" s="7">
        <v>6</v>
      </c>
      <c r="B8" s="7">
        <v>6</v>
      </c>
      <c r="C8" t="str">
        <f>VLOOKUP(B8,_Pitch!$A$2:$B$129,2,FALSE)</f>
        <v>F#-2</v>
      </c>
      <c r="D8" s="14" t="s">
        <v>400</v>
      </c>
      <c r="E8" s="14"/>
      <c r="F8" s="14"/>
    </row>
    <row r="9" spans="1:7">
      <c r="A9" s="7">
        <v>7</v>
      </c>
      <c r="B9" s="7">
        <v>7</v>
      </c>
      <c r="C9" t="str">
        <f>VLOOKUP(B9,_Pitch!$A$2:$B$129,2,FALSE)</f>
        <v>G-2</v>
      </c>
      <c r="D9" s="14" t="s">
        <v>401</v>
      </c>
      <c r="E9" s="14"/>
      <c r="F9" s="14"/>
    </row>
    <row r="10" spans="1:7">
      <c r="A10" s="7">
        <v>8</v>
      </c>
      <c r="B10" s="7">
        <v>8</v>
      </c>
      <c r="C10" t="str">
        <f>VLOOKUP(B10,_Pitch!$A$2:$B$129,2,FALSE)</f>
        <v>G#-2</v>
      </c>
      <c r="D10" s="14" t="s">
        <v>402</v>
      </c>
      <c r="E10" s="14"/>
      <c r="F10" s="14"/>
    </row>
    <row r="11" spans="1:7">
      <c r="A11" s="7">
        <v>9</v>
      </c>
      <c r="B11" s="7">
        <v>9</v>
      </c>
      <c r="C11" t="str">
        <f>VLOOKUP(B11,_Pitch!$A$2:$B$129,2,FALSE)</f>
        <v>A-2</v>
      </c>
      <c r="D11" s="14" t="s">
        <v>402</v>
      </c>
      <c r="E11" s="14"/>
      <c r="F11" s="14"/>
    </row>
    <row r="12" spans="1:7">
      <c r="A12" s="7">
        <v>10</v>
      </c>
      <c r="B12" s="7">
        <v>10</v>
      </c>
      <c r="C12" t="str">
        <f>VLOOKUP(B12,_Pitch!$A$2:$B$129,2,FALSE)</f>
        <v>A#-2</v>
      </c>
      <c r="D12" s="14" t="s">
        <v>1068</v>
      </c>
      <c r="E12" s="14" t="s">
        <v>1068</v>
      </c>
      <c r="F12" s="14" t="s">
        <v>290</v>
      </c>
    </row>
    <row r="13" spans="1:7">
      <c r="A13" s="7">
        <v>11</v>
      </c>
      <c r="B13" s="7">
        <v>11</v>
      </c>
      <c r="C13" t="str">
        <f>VLOOKUP(B13,_Pitch!$A$2:$B$129,2,FALSE)</f>
        <v>B-2</v>
      </c>
      <c r="D13" s="14" t="s">
        <v>153</v>
      </c>
      <c r="E13" s="14" t="s">
        <v>153</v>
      </c>
      <c r="F13" s="14" t="s">
        <v>290</v>
      </c>
    </row>
    <row r="14" spans="1:7">
      <c r="A14" s="7">
        <v>12</v>
      </c>
      <c r="B14" s="7">
        <v>12</v>
      </c>
      <c r="C14" t="str">
        <f>VLOOKUP(B14,_Pitch!$A$2:$B$129,2,FALSE)</f>
        <v>C-1</v>
      </c>
      <c r="D14" s="14" t="s">
        <v>164</v>
      </c>
      <c r="E14" s="14" t="s">
        <v>164</v>
      </c>
      <c r="F14" s="14"/>
    </row>
    <row r="15" spans="1:7">
      <c r="A15" s="7">
        <v>13</v>
      </c>
      <c r="B15" s="7">
        <v>13</v>
      </c>
      <c r="C15" t="str">
        <f>VLOOKUP(B15,_Pitch!$A$2:$B$129,2,FALSE)</f>
        <v>C#-1</v>
      </c>
      <c r="D15" s="14" t="s">
        <v>165</v>
      </c>
      <c r="E15" s="14" t="s">
        <v>165</v>
      </c>
      <c r="F15" s="14"/>
    </row>
    <row r="16" spans="1:7">
      <c r="A16" s="7">
        <v>14</v>
      </c>
      <c r="B16" s="7">
        <v>14</v>
      </c>
      <c r="C16" t="str">
        <f>VLOOKUP(B16,_Pitch!$A$2:$B$129,2,FALSE)</f>
        <v>D-1</v>
      </c>
      <c r="D16" s="14" t="s">
        <v>166</v>
      </c>
      <c r="E16" s="14" t="s">
        <v>166</v>
      </c>
      <c r="F16" s="14"/>
    </row>
    <row r="17" spans="1:6">
      <c r="A17" s="7">
        <v>15</v>
      </c>
      <c r="B17" s="7">
        <v>15</v>
      </c>
      <c r="C17" t="str">
        <f>VLOOKUP(B17,_Pitch!$A$2:$B$129,2,FALSE)</f>
        <v>D#-1</v>
      </c>
      <c r="D17" s="14" t="s">
        <v>167</v>
      </c>
      <c r="E17" s="14" t="s">
        <v>167</v>
      </c>
      <c r="F17" s="14"/>
    </row>
    <row r="18" spans="1:6">
      <c r="A18" s="7">
        <v>16</v>
      </c>
      <c r="B18" s="7">
        <v>16</v>
      </c>
      <c r="C18" t="str">
        <f>VLOOKUP(B18,_Pitch!$A$2:$B$129,2,FALSE)</f>
        <v>E-1</v>
      </c>
      <c r="D18" s="14" t="s">
        <v>168</v>
      </c>
      <c r="E18" s="14" t="s">
        <v>168</v>
      </c>
      <c r="F18" s="14"/>
    </row>
    <row r="19" spans="1:6">
      <c r="A19" s="7">
        <v>17</v>
      </c>
      <c r="B19" s="7">
        <v>17</v>
      </c>
      <c r="C19" t="str">
        <f>VLOOKUP(B19,_Pitch!$A$2:$B$129,2,FALSE)</f>
        <v>F-1</v>
      </c>
      <c r="D19" s="14" t="s">
        <v>169</v>
      </c>
      <c r="E19" s="14" t="s">
        <v>169</v>
      </c>
      <c r="F19" s="14"/>
    </row>
    <row r="20" spans="1:6">
      <c r="A20" s="7">
        <v>18</v>
      </c>
      <c r="B20" s="7">
        <v>18</v>
      </c>
      <c r="C20" t="str">
        <f>VLOOKUP(B20,_Pitch!$A$2:$B$129,2,FALSE)</f>
        <v>F#-1</v>
      </c>
      <c r="D20" s="14" t="s">
        <v>401</v>
      </c>
      <c r="E20" s="14"/>
      <c r="F20" s="14"/>
    </row>
    <row r="21" spans="1:6">
      <c r="A21" s="7">
        <v>19</v>
      </c>
      <c r="B21" s="7">
        <v>19</v>
      </c>
      <c r="C21" t="str">
        <f>VLOOKUP(B21,_Pitch!$A$2:$B$129,2,FALSE)</f>
        <v>G-1</v>
      </c>
      <c r="D21" s="14" t="s">
        <v>402</v>
      </c>
      <c r="E21" s="14"/>
      <c r="F21" s="14"/>
    </row>
    <row r="22" spans="1:6">
      <c r="A22" s="7">
        <v>20</v>
      </c>
      <c r="B22" s="7">
        <v>20</v>
      </c>
      <c r="C22" t="str">
        <f>VLOOKUP(B22,_Pitch!$A$2:$B$129,2,FALSE)</f>
        <v>G#-1</v>
      </c>
      <c r="D22" s="14" t="s">
        <v>401</v>
      </c>
      <c r="E22" s="14"/>
      <c r="F22" s="14"/>
    </row>
    <row r="23" spans="1:6">
      <c r="A23" s="7">
        <v>21</v>
      </c>
      <c r="B23" s="7">
        <v>21</v>
      </c>
      <c r="C23" t="str">
        <f>VLOOKUP(B23,_Pitch!$A$2:$B$129,2,FALSE)</f>
        <v>A-1</v>
      </c>
      <c r="D23" s="14" t="s">
        <v>1068</v>
      </c>
      <c r="E23" s="14" t="s">
        <v>1068</v>
      </c>
      <c r="F23" s="14" t="s">
        <v>290</v>
      </c>
    </row>
    <row r="24" spans="1:6">
      <c r="A24" s="7">
        <v>22</v>
      </c>
      <c r="B24" s="7">
        <v>22</v>
      </c>
      <c r="C24" t="str">
        <f>VLOOKUP(B24,_Pitch!$A$2:$B$129,2,FALSE)</f>
        <v>A#-1</v>
      </c>
      <c r="D24" s="14" t="s">
        <v>149</v>
      </c>
      <c r="E24" s="14" t="s">
        <v>149</v>
      </c>
      <c r="F24" s="14"/>
    </row>
    <row r="25" spans="1:6">
      <c r="A25" s="7">
        <v>23</v>
      </c>
      <c r="B25" s="7">
        <v>23</v>
      </c>
      <c r="C25" t="str">
        <f>VLOOKUP(B25,_Pitch!$A$2:$B$129,2,FALSE)</f>
        <v>B-1</v>
      </c>
      <c r="D25" s="14" t="s">
        <v>403</v>
      </c>
      <c r="E25" s="14" t="s">
        <v>403</v>
      </c>
      <c r="F25" s="14"/>
    </row>
    <row r="26" spans="1:6">
      <c r="A26" s="7">
        <v>24</v>
      </c>
      <c r="B26" s="7">
        <v>24</v>
      </c>
      <c r="C26" t="str">
        <f>VLOOKUP(B26,_Pitch!$A$2:$B$129,2,FALSE)</f>
        <v>C0</v>
      </c>
      <c r="D26" s="14" t="s">
        <v>159</v>
      </c>
      <c r="E26" s="14" t="s">
        <v>159</v>
      </c>
      <c r="F26" s="14"/>
    </row>
    <row r="27" spans="1:6">
      <c r="A27" s="7">
        <v>25</v>
      </c>
      <c r="B27" s="7">
        <v>25</v>
      </c>
      <c r="C27" t="str">
        <f>VLOOKUP(B27,_Pitch!$A$2:$B$129,2,FALSE)</f>
        <v>C#0</v>
      </c>
      <c r="D27" s="14" t="s">
        <v>160</v>
      </c>
      <c r="E27" s="14" t="s">
        <v>160</v>
      </c>
      <c r="F27" s="14" t="s">
        <v>290</v>
      </c>
    </row>
    <row r="28" spans="1:6">
      <c r="A28" s="7">
        <v>26</v>
      </c>
      <c r="B28" s="7">
        <v>26</v>
      </c>
      <c r="C28" t="str">
        <f>VLOOKUP(B28,_Pitch!$A$2:$B$129,2,FALSE)</f>
        <v>D0</v>
      </c>
      <c r="D28" s="14" t="s">
        <v>161</v>
      </c>
      <c r="E28" s="14" t="s">
        <v>161</v>
      </c>
      <c r="F28" s="14"/>
    </row>
    <row r="29" spans="1:6">
      <c r="A29" s="7">
        <v>27</v>
      </c>
      <c r="B29" s="7">
        <v>27</v>
      </c>
      <c r="C29" t="str">
        <f>VLOOKUP(B29,_Pitch!$A$2:$B$129,2,FALSE)</f>
        <v>D#0</v>
      </c>
      <c r="D29" s="14" t="s">
        <v>368</v>
      </c>
      <c r="E29" s="14" t="s">
        <v>206</v>
      </c>
      <c r="F29" s="14"/>
    </row>
    <row r="30" spans="1:6">
      <c r="A30" s="7">
        <v>28</v>
      </c>
      <c r="B30" s="7">
        <v>28</v>
      </c>
      <c r="C30" t="str">
        <f>VLOOKUP(B30,_Pitch!$A$2:$B$129,2,FALSE)</f>
        <v>E0</v>
      </c>
      <c r="D30" s="14" t="s">
        <v>414</v>
      </c>
      <c r="E30" s="14" t="s">
        <v>568</v>
      </c>
      <c r="F30" s="14" t="s">
        <v>290</v>
      </c>
    </row>
    <row r="31" spans="1:6">
      <c r="A31" s="7">
        <v>29</v>
      </c>
      <c r="B31" s="7">
        <v>29</v>
      </c>
      <c r="C31" t="str">
        <f>VLOOKUP(B31,_Pitch!$A$2:$B$129,2,FALSE)</f>
        <v>F0</v>
      </c>
      <c r="D31" s="14" t="s">
        <v>425</v>
      </c>
      <c r="E31" s="14" t="s">
        <v>477</v>
      </c>
      <c r="F31" s="14"/>
    </row>
    <row r="32" spans="1:6">
      <c r="A32" s="7">
        <v>30</v>
      </c>
      <c r="B32" s="7">
        <v>30</v>
      </c>
      <c r="C32" t="str">
        <f>VLOOKUP(B32,_Pitch!$A$2:$B$129,2,FALSE)</f>
        <v>F#0</v>
      </c>
      <c r="D32" s="14" t="s">
        <v>426</v>
      </c>
      <c r="E32" s="14" t="s">
        <v>933</v>
      </c>
      <c r="F32" s="14" t="s">
        <v>290</v>
      </c>
    </row>
    <row r="33" spans="1:6">
      <c r="A33" s="7">
        <v>31</v>
      </c>
      <c r="B33" s="7">
        <v>31</v>
      </c>
      <c r="C33" t="str">
        <f>VLOOKUP(B33,_Pitch!$A$2:$B$129,2,FALSE)</f>
        <v>G0</v>
      </c>
      <c r="D33" s="14" t="s">
        <v>369</v>
      </c>
      <c r="E33" s="14" t="s">
        <v>212</v>
      </c>
      <c r="F33" s="14"/>
    </row>
    <row r="34" spans="1:6">
      <c r="A34" s="7">
        <v>32</v>
      </c>
      <c r="B34" s="7">
        <v>32</v>
      </c>
      <c r="C34" t="str">
        <f>VLOOKUP(B34,_Pitch!$A$2:$B$129,2,FALSE)</f>
        <v>G#0</v>
      </c>
      <c r="D34" s="14" t="s">
        <v>404</v>
      </c>
      <c r="E34" s="14" t="s">
        <v>569</v>
      </c>
      <c r="F34" s="14" t="s">
        <v>290</v>
      </c>
    </row>
    <row r="35" spans="1:6">
      <c r="A35" s="7">
        <v>33</v>
      </c>
      <c r="B35" s="7">
        <v>33</v>
      </c>
      <c r="C35" t="str">
        <f>VLOOKUP(B35,_Pitch!$A$2:$B$129,2,FALSE)</f>
        <v>A0</v>
      </c>
      <c r="D35" s="14" t="s">
        <v>139</v>
      </c>
      <c r="E35" s="14" t="s">
        <v>139</v>
      </c>
      <c r="F35" s="14" t="s">
        <v>290</v>
      </c>
    </row>
    <row r="36" spans="1:6">
      <c r="A36" s="7">
        <v>34</v>
      </c>
      <c r="B36" s="7">
        <v>34</v>
      </c>
      <c r="C36" t="str">
        <f>VLOOKUP(B36,_Pitch!$A$2:$B$129,2,FALSE)</f>
        <v>A#0</v>
      </c>
      <c r="D36" s="14" t="s">
        <v>135</v>
      </c>
      <c r="E36" s="14" t="s">
        <v>133</v>
      </c>
      <c r="F36" s="14" t="s">
        <v>290</v>
      </c>
    </row>
    <row r="37" spans="1:6">
      <c r="A37" s="7">
        <v>35</v>
      </c>
      <c r="B37" s="7">
        <v>35</v>
      </c>
      <c r="C37" t="str">
        <f>VLOOKUP(B37,_Pitch!$A$2:$B$129,2,FALSE)</f>
        <v>B0</v>
      </c>
      <c r="D37" s="14" t="s">
        <v>135</v>
      </c>
      <c r="E37" s="14" t="s">
        <v>135</v>
      </c>
      <c r="F37" s="14"/>
    </row>
    <row r="38" spans="1:6">
      <c r="A38" s="7">
        <v>36</v>
      </c>
      <c r="B38" s="7">
        <v>36</v>
      </c>
      <c r="C38" t="str">
        <f>VLOOKUP(B38,_Pitch!$A$2:$B$129,2,FALSE)</f>
        <v>C1</v>
      </c>
      <c r="D38" s="14" t="s">
        <v>135</v>
      </c>
      <c r="E38" s="14" t="s">
        <v>133</v>
      </c>
      <c r="F38" s="14"/>
    </row>
    <row r="39" spans="1:6">
      <c r="A39" s="7">
        <v>37</v>
      </c>
      <c r="B39" s="7">
        <v>37</v>
      </c>
      <c r="C39" t="str">
        <f>VLOOKUP(B39,_Pitch!$A$2:$B$129,2,FALSE)</f>
        <v>C#1</v>
      </c>
      <c r="D39" s="14" t="s">
        <v>145</v>
      </c>
      <c r="E39" s="14" t="s">
        <v>145</v>
      </c>
      <c r="F39" s="14"/>
    </row>
    <row r="40" spans="1:6">
      <c r="A40" s="7">
        <v>38</v>
      </c>
      <c r="B40" s="7">
        <v>38</v>
      </c>
      <c r="C40" t="str">
        <f>VLOOKUP(B40,_Pitch!$A$2:$B$129,2,FALSE)</f>
        <v>D1</v>
      </c>
      <c r="D40" s="14" t="s">
        <v>136</v>
      </c>
      <c r="E40" s="14" t="s">
        <v>561</v>
      </c>
      <c r="F40" s="14"/>
    </row>
    <row r="41" spans="1:6">
      <c r="A41" s="7">
        <v>39</v>
      </c>
      <c r="B41" s="7">
        <v>39</v>
      </c>
      <c r="C41" t="str">
        <f>VLOOKUP(B41,_Pitch!$A$2:$B$129,2,FALSE)</f>
        <v>D#1</v>
      </c>
      <c r="D41" s="14" t="s">
        <v>136</v>
      </c>
      <c r="E41" s="14" t="s">
        <v>561</v>
      </c>
      <c r="F41" s="14" t="s">
        <v>290</v>
      </c>
    </row>
    <row r="42" spans="1:6">
      <c r="A42" s="7">
        <v>40</v>
      </c>
      <c r="B42" s="7">
        <v>40</v>
      </c>
      <c r="C42" t="str">
        <f>VLOOKUP(B42,_Pitch!$A$2:$B$129,2,FALSE)</f>
        <v>E1</v>
      </c>
      <c r="D42" s="14" t="s">
        <v>234</v>
      </c>
      <c r="E42" s="14" t="s">
        <v>1077</v>
      </c>
      <c r="F42" s="14"/>
    </row>
    <row r="43" spans="1:6">
      <c r="A43" s="7">
        <v>41</v>
      </c>
      <c r="B43" s="7">
        <v>41</v>
      </c>
      <c r="C43" t="str">
        <f>VLOOKUP(B43,_Pitch!$A$2:$B$129,2,FALSE)</f>
        <v>F1</v>
      </c>
      <c r="D43" s="14" t="s">
        <v>427</v>
      </c>
      <c r="E43" s="14" t="s">
        <v>558</v>
      </c>
      <c r="F43" s="14" t="s">
        <v>290</v>
      </c>
    </row>
    <row r="44" spans="1:6">
      <c r="A44" s="7">
        <v>42</v>
      </c>
      <c r="B44" s="7">
        <v>42</v>
      </c>
      <c r="C44" t="str">
        <f>VLOOKUP(B44,_Pitch!$A$2:$B$129,2,FALSE)</f>
        <v>F#1</v>
      </c>
      <c r="D44" s="14" t="s">
        <v>153</v>
      </c>
      <c r="E44" s="14" t="s">
        <v>153</v>
      </c>
      <c r="F44" s="14"/>
    </row>
    <row r="45" spans="1:6">
      <c r="A45" s="7">
        <v>43</v>
      </c>
      <c r="B45" s="7">
        <v>43</v>
      </c>
      <c r="C45" t="str">
        <f>VLOOKUP(B45,_Pitch!$A$2:$B$129,2,FALSE)</f>
        <v>G1</v>
      </c>
      <c r="D45" s="14" t="s">
        <v>427</v>
      </c>
      <c r="E45" s="14" t="s">
        <v>558</v>
      </c>
      <c r="F45" s="14"/>
    </row>
    <row r="46" spans="1:6">
      <c r="A46" s="7">
        <v>44</v>
      </c>
      <c r="B46" s="7">
        <v>44</v>
      </c>
      <c r="C46" t="str">
        <f>VLOOKUP(B46,_Pitch!$A$2:$B$129,2,FALSE)</f>
        <v>G#1</v>
      </c>
      <c r="D46" s="14" t="s">
        <v>1068</v>
      </c>
      <c r="E46" s="14" t="s">
        <v>1068</v>
      </c>
      <c r="F46" s="14"/>
    </row>
    <row r="47" spans="1:6">
      <c r="A47" s="7">
        <v>45</v>
      </c>
      <c r="B47" s="7">
        <v>45</v>
      </c>
      <c r="C47" t="str">
        <f>VLOOKUP(B47,_Pitch!$A$2:$B$129,2,FALSE)</f>
        <v>A1</v>
      </c>
      <c r="D47" s="14" t="s">
        <v>1005</v>
      </c>
      <c r="E47" s="14" t="s">
        <v>559</v>
      </c>
      <c r="F47" s="14" t="s">
        <v>290</v>
      </c>
    </row>
    <row r="48" spans="1:6">
      <c r="A48" s="7">
        <v>46</v>
      </c>
      <c r="B48" s="7">
        <v>46</v>
      </c>
      <c r="C48" t="str">
        <f>VLOOKUP(B48,_Pitch!$A$2:$B$129,2,FALSE)</f>
        <v>A#1</v>
      </c>
      <c r="D48" s="14" t="s">
        <v>160</v>
      </c>
      <c r="E48" s="14" t="s">
        <v>160</v>
      </c>
      <c r="F48" s="14"/>
    </row>
    <row r="49" spans="1:6">
      <c r="A49" s="7">
        <v>47</v>
      </c>
      <c r="B49" s="7">
        <v>47</v>
      </c>
      <c r="C49" t="str">
        <f>VLOOKUP(B49,_Pitch!$A$2:$B$129,2,FALSE)</f>
        <v>B1</v>
      </c>
      <c r="D49" s="14" t="s">
        <v>1005</v>
      </c>
      <c r="E49" s="14" t="s">
        <v>559</v>
      </c>
      <c r="F49" s="14"/>
    </row>
    <row r="50" spans="1:6">
      <c r="A50" s="7">
        <v>48</v>
      </c>
      <c r="B50" s="7">
        <v>48</v>
      </c>
      <c r="C50" t="str">
        <f>VLOOKUP(B50,_Pitch!$A$2:$B$129,2,FALSE)</f>
        <v>C2</v>
      </c>
      <c r="D50" s="14" t="s">
        <v>1000</v>
      </c>
      <c r="E50" s="14" t="s">
        <v>560</v>
      </c>
      <c r="F50" s="14"/>
    </row>
    <row r="51" spans="1:6">
      <c r="A51" s="7">
        <v>49</v>
      </c>
      <c r="B51" s="7">
        <v>49</v>
      </c>
      <c r="C51" t="str">
        <f>VLOOKUP(B51,_Pitch!$A$2:$B$129,2,FALSE)</f>
        <v>C#2</v>
      </c>
      <c r="D51" s="14" t="s">
        <v>414</v>
      </c>
      <c r="E51" s="14" t="s">
        <v>568</v>
      </c>
      <c r="F51" s="14"/>
    </row>
    <row r="52" spans="1:6">
      <c r="A52" s="7">
        <v>50</v>
      </c>
      <c r="B52" s="7">
        <v>50</v>
      </c>
      <c r="C52" t="str">
        <f>VLOOKUP(B52,_Pitch!$A$2:$B$129,2,FALSE)</f>
        <v>D2</v>
      </c>
      <c r="D52" s="14" t="s">
        <v>413</v>
      </c>
      <c r="E52" s="14" t="s">
        <v>210</v>
      </c>
      <c r="F52" s="14"/>
    </row>
    <row r="53" spans="1:6">
      <c r="A53" s="7">
        <v>51</v>
      </c>
      <c r="B53" s="7">
        <v>51</v>
      </c>
      <c r="C53" t="str">
        <f>VLOOKUP(B53,_Pitch!$A$2:$B$129,2,FALSE)</f>
        <v>D#2</v>
      </c>
      <c r="D53" s="14" t="s">
        <v>405</v>
      </c>
      <c r="E53" s="14" t="s">
        <v>175</v>
      </c>
      <c r="F53" s="14"/>
    </row>
    <row r="54" spans="1:6">
      <c r="A54" s="7">
        <v>52</v>
      </c>
      <c r="B54" s="7">
        <v>52</v>
      </c>
      <c r="C54" t="str">
        <f>VLOOKUP(B54,_Pitch!$A$2:$B$129,2,FALSE)</f>
        <v>E2</v>
      </c>
      <c r="D54" s="14" t="s">
        <v>412</v>
      </c>
      <c r="E54" s="14" t="s">
        <v>179</v>
      </c>
      <c r="F54" s="14"/>
    </row>
    <row r="55" spans="1:6">
      <c r="A55" s="7">
        <v>53</v>
      </c>
      <c r="B55" s="7">
        <v>53</v>
      </c>
      <c r="C55" t="str">
        <f>VLOOKUP(B55,_Pitch!$A$2:$B$129,2,FALSE)</f>
        <v>F2</v>
      </c>
      <c r="D55" s="14" t="s">
        <v>263</v>
      </c>
      <c r="E55" s="14" t="s">
        <v>181</v>
      </c>
      <c r="F55" s="14"/>
    </row>
    <row r="56" spans="1:6">
      <c r="A56" s="7">
        <v>54</v>
      </c>
      <c r="B56" s="7">
        <v>54</v>
      </c>
      <c r="C56" t="str">
        <f>VLOOKUP(B56,_Pitch!$A$2:$B$129,2,FALSE)</f>
        <v>F#2</v>
      </c>
      <c r="D56" s="14" t="s">
        <v>419</v>
      </c>
      <c r="E56" s="14" t="s">
        <v>183</v>
      </c>
      <c r="F56" s="14" t="s">
        <v>290</v>
      </c>
    </row>
    <row r="57" spans="1:6">
      <c r="A57" s="7">
        <v>55</v>
      </c>
      <c r="B57" s="7">
        <v>55</v>
      </c>
      <c r="C57" t="str">
        <f>VLOOKUP(B57,_Pitch!$A$2:$B$129,2,FALSE)</f>
        <v>G2</v>
      </c>
      <c r="D57" s="14" t="s">
        <v>426</v>
      </c>
      <c r="E57" s="14" t="s">
        <v>933</v>
      </c>
      <c r="F57" s="14"/>
    </row>
    <row r="58" spans="1:6">
      <c r="A58" s="7">
        <v>56</v>
      </c>
      <c r="B58" s="7">
        <v>56</v>
      </c>
      <c r="C58" t="str">
        <f>VLOOKUP(B58,_Pitch!$A$2:$B$129,2,FALSE)</f>
        <v>G#2</v>
      </c>
      <c r="D58" s="14" t="s">
        <v>428</v>
      </c>
      <c r="E58" s="14" t="s">
        <v>976</v>
      </c>
      <c r="F58" s="14"/>
    </row>
    <row r="59" spans="1:6">
      <c r="A59" s="7">
        <v>57</v>
      </c>
      <c r="B59" s="7">
        <v>57</v>
      </c>
      <c r="C59" t="str">
        <f>VLOOKUP(B59,_Pitch!$A$2:$B$129,2,FALSE)</f>
        <v>A2</v>
      </c>
      <c r="D59" s="14" t="s">
        <v>404</v>
      </c>
      <c r="E59" s="14" t="s">
        <v>569</v>
      </c>
      <c r="F59" s="14"/>
    </row>
    <row r="60" spans="1:6">
      <c r="A60" s="7">
        <v>58</v>
      </c>
      <c r="B60" s="7">
        <v>58</v>
      </c>
      <c r="C60" t="str">
        <f>VLOOKUP(B60,_Pitch!$A$2:$B$129,2,FALSE)</f>
        <v>A#2</v>
      </c>
      <c r="D60" s="14" t="s">
        <v>408</v>
      </c>
      <c r="E60" s="14" t="s">
        <v>216</v>
      </c>
      <c r="F60" s="14"/>
    </row>
    <row r="61" spans="1:6">
      <c r="A61" s="7">
        <v>59</v>
      </c>
      <c r="B61" s="7">
        <v>59</v>
      </c>
      <c r="C61" t="str">
        <f>VLOOKUP(B61,_Pitch!$A$2:$B$129,2,FALSE)</f>
        <v>B2</v>
      </c>
      <c r="D61" s="14" t="s">
        <v>412</v>
      </c>
      <c r="E61" s="14" t="s">
        <v>179</v>
      </c>
      <c r="F61" s="14" t="s">
        <v>290</v>
      </c>
    </row>
    <row r="62" spans="1:6">
      <c r="A62" s="7">
        <v>60</v>
      </c>
      <c r="B62" s="7">
        <v>60</v>
      </c>
      <c r="C62" t="str">
        <f>VLOOKUP(B62,_Pitch!$A$2:$B$129,2,FALSE)</f>
        <v>C3</v>
      </c>
      <c r="D62" s="14" t="s">
        <v>162</v>
      </c>
      <c r="E62" s="14" t="s">
        <v>162</v>
      </c>
      <c r="F62" s="14"/>
    </row>
    <row r="63" spans="1:6">
      <c r="A63" s="7">
        <v>61</v>
      </c>
      <c r="B63" s="7">
        <v>61</v>
      </c>
      <c r="C63" t="str">
        <f>VLOOKUP(B63,_Pitch!$A$2:$B$129,2,FALSE)</f>
        <v>C#3</v>
      </c>
      <c r="D63" s="14" t="s">
        <v>153</v>
      </c>
      <c r="E63" s="14" t="s">
        <v>153</v>
      </c>
      <c r="F63" s="14" t="s">
        <v>290</v>
      </c>
    </row>
    <row r="64" spans="1:6">
      <c r="A64" s="7">
        <v>62</v>
      </c>
      <c r="B64" s="7">
        <v>62</v>
      </c>
      <c r="C64" t="str">
        <f>VLOOKUP(B64,_Pitch!$A$2:$B$129,2,FALSE)</f>
        <v>D3</v>
      </c>
      <c r="D64" s="14" t="s">
        <v>151</v>
      </c>
      <c r="E64" s="14" t="s">
        <v>151</v>
      </c>
      <c r="F64" s="14"/>
    </row>
    <row r="65" spans="1:6">
      <c r="A65" s="7">
        <v>63</v>
      </c>
      <c r="B65" s="7">
        <v>63</v>
      </c>
      <c r="C65" t="str">
        <f>VLOOKUP(B65,_Pitch!$A$2:$B$129,2,FALSE)</f>
        <v>D#3</v>
      </c>
      <c r="D65" s="14" t="s">
        <v>154</v>
      </c>
      <c r="E65" s="14" t="s">
        <v>154</v>
      </c>
      <c r="F65" s="14"/>
    </row>
    <row r="66" spans="1:6">
      <c r="A66" s="7">
        <v>64</v>
      </c>
      <c r="B66" s="7">
        <v>64</v>
      </c>
      <c r="C66" t="str">
        <f>VLOOKUP(B66,_Pitch!$A$2:$B$129,2,FALSE)</f>
        <v>E3</v>
      </c>
      <c r="D66" s="14" t="s">
        <v>156</v>
      </c>
      <c r="E66" s="14" t="s">
        <v>156</v>
      </c>
      <c r="F66" s="14"/>
    </row>
    <row r="67" spans="1:6">
      <c r="A67" s="7">
        <v>65</v>
      </c>
      <c r="B67" s="7">
        <v>65</v>
      </c>
      <c r="C67" t="str">
        <f>VLOOKUP(B67,_Pitch!$A$2:$B$129,2,FALSE)</f>
        <v>F3</v>
      </c>
      <c r="D67" s="14" t="s">
        <v>149</v>
      </c>
      <c r="E67" s="14" t="s">
        <v>149</v>
      </c>
      <c r="F67" s="14" t="s">
        <v>290</v>
      </c>
    </row>
    <row r="68" spans="1:6">
      <c r="A68" s="7">
        <v>66</v>
      </c>
      <c r="B68" s="7">
        <v>66</v>
      </c>
      <c r="C68" t="str">
        <f>VLOOKUP(B68,_Pitch!$A$2:$B$129,2,FALSE)</f>
        <v>F#3</v>
      </c>
      <c r="D68" s="14" t="s">
        <v>136</v>
      </c>
      <c r="E68" s="14" t="s">
        <v>561</v>
      </c>
      <c r="F68" s="14" t="s">
        <v>290</v>
      </c>
    </row>
    <row r="69" spans="1:6">
      <c r="A69" s="7">
        <v>67</v>
      </c>
      <c r="B69" s="7">
        <v>67</v>
      </c>
      <c r="C69" t="str">
        <f>VLOOKUP(B69,_Pitch!$A$2:$B$129,2,FALSE)</f>
        <v>G3</v>
      </c>
      <c r="D69" s="14" t="s">
        <v>145</v>
      </c>
      <c r="E69" s="14" t="s">
        <v>145</v>
      </c>
      <c r="F69" s="14" t="s">
        <v>290</v>
      </c>
    </row>
    <row r="70" spans="1:6">
      <c r="A70" s="7">
        <v>68</v>
      </c>
      <c r="B70" s="7">
        <v>68</v>
      </c>
      <c r="C70" t="str">
        <f>VLOOKUP(B70,_Pitch!$A$2:$B$129,2,FALSE)</f>
        <v>G#3</v>
      </c>
      <c r="D70" s="14" t="s">
        <v>136</v>
      </c>
      <c r="E70" s="14" t="s">
        <v>561</v>
      </c>
      <c r="F70" s="14" t="s">
        <v>290</v>
      </c>
    </row>
    <row r="71" spans="1:6">
      <c r="A71" s="7">
        <v>69</v>
      </c>
      <c r="B71" s="7">
        <v>69</v>
      </c>
      <c r="C71" t="str">
        <f>VLOOKUP(B71,_Pitch!$A$2:$B$129,2,FALSE)</f>
        <v>A3</v>
      </c>
      <c r="D71" s="14" t="s">
        <v>136</v>
      </c>
      <c r="E71" s="14" t="s">
        <v>561</v>
      </c>
      <c r="F71" s="14" t="s">
        <v>290</v>
      </c>
    </row>
    <row r="72" spans="1:6">
      <c r="A72" s="7">
        <v>70</v>
      </c>
      <c r="B72" s="7">
        <v>70</v>
      </c>
      <c r="C72" t="str">
        <f>VLOOKUP(B72,_Pitch!$A$2:$B$129,2,FALSE)</f>
        <v>A#3</v>
      </c>
      <c r="D72" s="14" t="s">
        <v>136</v>
      </c>
      <c r="E72" s="14" t="s">
        <v>561</v>
      </c>
      <c r="F72" s="14" t="s">
        <v>290</v>
      </c>
    </row>
    <row r="73" spans="1:6">
      <c r="A73" s="7">
        <v>71</v>
      </c>
      <c r="B73" s="7">
        <v>71</v>
      </c>
      <c r="C73" t="str">
        <f>VLOOKUP(B73,_Pitch!$A$2:$B$129,2,FALSE)</f>
        <v>B3</v>
      </c>
      <c r="D73" s="14" t="s">
        <v>144</v>
      </c>
      <c r="E73" s="14" t="s">
        <v>144</v>
      </c>
      <c r="F73" s="14"/>
    </row>
    <row r="74" spans="1:6">
      <c r="A74" s="7">
        <v>72</v>
      </c>
      <c r="B74" s="7">
        <v>72</v>
      </c>
      <c r="C74" t="str">
        <f>VLOOKUP(B74,_Pitch!$A$2:$B$129,2,FALSE)</f>
        <v>C4</v>
      </c>
      <c r="D74" s="14" t="s">
        <v>429</v>
      </c>
      <c r="E74" s="14" t="s">
        <v>199</v>
      </c>
      <c r="F74" s="14" t="s">
        <v>290</v>
      </c>
    </row>
    <row r="75" spans="1:6">
      <c r="A75" s="7">
        <v>73</v>
      </c>
      <c r="B75" s="7">
        <v>73</v>
      </c>
      <c r="C75" t="str">
        <f>VLOOKUP(B75,_Pitch!$A$2:$B$129,2,FALSE)</f>
        <v>C#4</v>
      </c>
      <c r="D75" s="14" t="s">
        <v>430</v>
      </c>
      <c r="E75" s="14" t="s">
        <v>198</v>
      </c>
      <c r="F75" s="14" t="s">
        <v>290</v>
      </c>
    </row>
    <row r="76" spans="1:6">
      <c r="A76" s="7">
        <v>74</v>
      </c>
      <c r="B76" s="7">
        <v>74</v>
      </c>
      <c r="C76" t="str">
        <f>VLOOKUP(B76,_Pitch!$A$2:$B$129,2,FALSE)</f>
        <v>D4</v>
      </c>
      <c r="D76" s="14" t="s">
        <v>429</v>
      </c>
      <c r="E76" s="14" t="s">
        <v>199</v>
      </c>
      <c r="F76" s="14" t="s">
        <v>567</v>
      </c>
    </row>
    <row r="77" spans="1:6">
      <c r="A77" s="7">
        <v>75</v>
      </c>
      <c r="B77" s="7">
        <v>75</v>
      </c>
      <c r="C77" t="str">
        <f>VLOOKUP(B77,_Pitch!$A$2:$B$129,2,FALSE)</f>
        <v>D#4</v>
      </c>
      <c r="D77" s="14" t="s">
        <v>430</v>
      </c>
      <c r="E77" s="14" t="s">
        <v>198</v>
      </c>
      <c r="F77" s="14"/>
    </row>
    <row r="78" spans="1:6">
      <c r="A78" s="7">
        <v>76</v>
      </c>
      <c r="B78" s="7">
        <v>76</v>
      </c>
      <c r="C78" t="str">
        <f>VLOOKUP(B78,_Pitch!$A$2:$B$129,2,FALSE)</f>
        <v>E4</v>
      </c>
      <c r="D78" s="14" t="s">
        <v>144</v>
      </c>
      <c r="E78" s="14" t="s">
        <v>144</v>
      </c>
      <c r="F78" s="14" t="s">
        <v>290</v>
      </c>
    </row>
    <row r="79" spans="1:6">
      <c r="A79" s="7">
        <v>77</v>
      </c>
      <c r="B79" s="7">
        <v>77</v>
      </c>
      <c r="C79" t="str">
        <f>VLOOKUP(B79,_Pitch!$A$2:$B$129,2,FALSE)</f>
        <v>F4</v>
      </c>
      <c r="D79" s="14" t="s">
        <v>1003</v>
      </c>
      <c r="E79" s="14" t="s">
        <v>1003</v>
      </c>
      <c r="F79" s="14" t="s">
        <v>290</v>
      </c>
    </row>
    <row r="80" spans="1:6">
      <c r="A80" s="7">
        <v>78</v>
      </c>
      <c r="B80" s="7">
        <v>78</v>
      </c>
      <c r="C80" t="str">
        <f>VLOOKUP(B80,_Pitch!$A$2:$B$129,2,FALSE)</f>
        <v>F#4</v>
      </c>
      <c r="D80" s="14" t="s">
        <v>191</v>
      </c>
      <c r="E80" s="14" t="s">
        <v>191</v>
      </c>
      <c r="F80" s="14" t="s">
        <v>290</v>
      </c>
    </row>
    <row r="81" spans="1:6">
      <c r="A81" s="7">
        <v>79</v>
      </c>
      <c r="B81" s="7">
        <v>79</v>
      </c>
      <c r="C81" t="str">
        <f>VLOOKUP(B81,_Pitch!$A$2:$B$129,2,FALSE)</f>
        <v>G4</v>
      </c>
      <c r="D81" s="14" t="s">
        <v>1003</v>
      </c>
      <c r="E81" s="14" t="s">
        <v>1003</v>
      </c>
      <c r="F81" s="14" t="s">
        <v>567</v>
      </c>
    </row>
    <row r="82" spans="1:6">
      <c r="A82" s="7">
        <v>80</v>
      </c>
      <c r="B82" s="7">
        <v>80</v>
      </c>
      <c r="C82" t="str">
        <f>VLOOKUP(B82,_Pitch!$A$2:$B$129,2,FALSE)</f>
        <v>G#4</v>
      </c>
      <c r="D82" s="14" t="s">
        <v>191</v>
      </c>
      <c r="E82" s="14" t="s">
        <v>191</v>
      </c>
      <c r="F82" s="14"/>
    </row>
    <row r="83" spans="1:6">
      <c r="A83" s="7">
        <v>81</v>
      </c>
      <c r="B83" s="7">
        <v>81</v>
      </c>
      <c r="C83" t="str">
        <f>VLOOKUP(B83,_Pitch!$A$2:$B$129,2,FALSE)</f>
        <v>A4</v>
      </c>
      <c r="D83" s="14" t="s">
        <v>998</v>
      </c>
      <c r="E83" s="14" t="s">
        <v>998</v>
      </c>
      <c r="F83" s="14" t="s">
        <v>567</v>
      </c>
    </row>
    <row r="84" spans="1:6">
      <c r="A84" s="7">
        <v>82</v>
      </c>
      <c r="B84" s="7">
        <v>82</v>
      </c>
      <c r="C84" t="str">
        <f>VLOOKUP(B84,_Pitch!$A$2:$B$129,2,FALSE)</f>
        <v>A#4</v>
      </c>
      <c r="D84" s="14" t="s">
        <v>189</v>
      </c>
      <c r="E84" s="14" t="s">
        <v>189</v>
      </c>
      <c r="F84" s="14"/>
    </row>
    <row r="85" spans="1:6">
      <c r="A85" s="7">
        <v>83</v>
      </c>
      <c r="B85" s="7">
        <v>83</v>
      </c>
      <c r="C85" t="str">
        <f>VLOOKUP(B85,_Pitch!$A$2:$B$129,2,FALSE)</f>
        <v>B4</v>
      </c>
      <c r="D85" s="14" t="s">
        <v>419</v>
      </c>
      <c r="E85" s="14" t="s">
        <v>183</v>
      </c>
      <c r="F85" s="14" t="s">
        <v>290</v>
      </c>
    </row>
    <row r="86" spans="1:6">
      <c r="A86" s="7">
        <v>84</v>
      </c>
      <c r="B86" s="7">
        <v>84</v>
      </c>
      <c r="C86" t="str">
        <f>VLOOKUP(B86,_Pitch!$A$2:$B$129,2,FALSE)</f>
        <v>C5</v>
      </c>
      <c r="D86" s="14" t="s">
        <v>405</v>
      </c>
      <c r="E86" s="14" t="s">
        <v>175</v>
      </c>
      <c r="F86" s="14" t="s">
        <v>290</v>
      </c>
    </row>
    <row r="87" spans="1:6">
      <c r="A87" s="7">
        <v>85</v>
      </c>
      <c r="B87" s="7">
        <v>85</v>
      </c>
      <c r="C87" t="str">
        <f>VLOOKUP(B87,_Pitch!$A$2:$B$129,2,FALSE)</f>
        <v>C#5</v>
      </c>
      <c r="D87" s="14" t="s">
        <v>263</v>
      </c>
      <c r="E87" s="14" t="s">
        <v>181</v>
      </c>
      <c r="F87" s="14" t="s">
        <v>290</v>
      </c>
    </row>
    <row r="88" spans="1:6">
      <c r="A88" s="7">
        <v>86</v>
      </c>
      <c r="B88" s="7">
        <v>86</v>
      </c>
      <c r="C88" t="str">
        <f>VLOOKUP(B88,_Pitch!$A$2:$B$129,2,FALSE)</f>
        <v>D5</v>
      </c>
      <c r="D88" s="14" t="s">
        <v>412</v>
      </c>
      <c r="E88" s="14" t="s">
        <v>179</v>
      </c>
      <c r="F88" s="14" t="s">
        <v>290</v>
      </c>
    </row>
    <row r="89" spans="1:6">
      <c r="A89" s="7">
        <v>87</v>
      </c>
      <c r="B89" s="7">
        <v>87</v>
      </c>
      <c r="C89" t="str">
        <f>VLOOKUP(B89,_Pitch!$A$2:$B$129,2,FALSE)</f>
        <v>D#5</v>
      </c>
      <c r="D89" s="14" t="s">
        <v>405</v>
      </c>
      <c r="E89" s="14" t="s">
        <v>175</v>
      </c>
      <c r="F89" s="14" t="s">
        <v>290</v>
      </c>
    </row>
    <row r="90" spans="1:6">
      <c r="A90" s="7">
        <v>88</v>
      </c>
      <c r="B90" s="7">
        <v>88</v>
      </c>
      <c r="C90" t="str">
        <f>VLOOKUP(B90,_Pitch!$A$2:$B$129,2,FALSE)</f>
        <v>E5</v>
      </c>
      <c r="D90" s="14" t="s">
        <v>263</v>
      </c>
      <c r="E90" s="14" t="s">
        <v>181</v>
      </c>
      <c r="F90" s="14" t="s">
        <v>290</v>
      </c>
    </row>
    <row r="91" spans="1:6">
      <c r="A91" s="7">
        <v>89</v>
      </c>
      <c r="B91" s="7">
        <v>89</v>
      </c>
      <c r="C91" t="str">
        <f>VLOOKUP(B91,_Pitch!$A$2:$B$129,2,FALSE)</f>
        <v>F5</v>
      </c>
      <c r="D91" s="14" t="s">
        <v>368</v>
      </c>
      <c r="E91" s="14" t="s">
        <v>206</v>
      </c>
      <c r="F91" s="14" t="s">
        <v>290</v>
      </c>
    </row>
    <row r="92" spans="1:6">
      <c r="A92" s="7">
        <v>90</v>
      </c>
      <c r="B92" s="7">
        <v>90</v>
      </c>
      <c r="C92" t="str">
        <f>VLOOKUP(B92,_Pitch!$A$2:$B$129,2,FALSE)</f>
        <v>F#5</v>
      </c>
      <c r="D92" s="14" t="s">
        <v>263</v>
      </c>
      <c r="E92" s="14" t="s">
        <v>181</v>
      </c>
      <c r="F92" s="14" t="s">
        <v>290</v>
      </c>
    </row>
    <row r="93" spans="1:6">
      <c r="A93" s="7">
        <v>91</v>
      </c>
      <c r="B93" s="7">
        <v>91</v>
      </c>
      <c r="C93" t="str">
        <f>VLOOKUP(B93,_Pitch!$A$2:$B$129,2,FALSE)</f>
        <v>G5</v>
      </c>
      <c r="D93" s="14" t="s">
        <v>414</v>
      </c>
      <c r="E93" s="14" t="s">
        <v>568</v>
      </c>
      <c r="F93" s="14" t="s">
        <v>290</v>
      </c>
    </row>
    <row r="94" spans="1:6">
      <c r="A94" s="7">
        <v>92</v>
      </c>
      <c r="B94" s="7">
        <v>92</v>
      </c>
      <c r="C94" t="str">
        <f>VLOOKUP(B94,_Pitch!$A$2:$B$129,2,FALSE)</f>
        <v>G#5</v>
      </c>
      <c r="D94" s="14" t="s">
        <v>263</v>
      </c>
      <c r="E94" s="14" t="s">
        <v>181</v>
      </c>
      <c r="F94" s="14" t="s">
        <v>290</v>
      </c>
    </row>
    <row r="95" spans="1:6">
      <c r="A95" s="7">
        <v>93</v>
      </c>
      <c r="B95" s="7">
        <v>93</v>
      </c>
      <c r="C95" t="str">
        <f>VLOOKUP(B95,_Pitch!$A$2:$B$129,2,FALSE)</f>
        <v>A5</v>
      </c>
      <c r="D95" s="14" t="s">
        <v>263</v>
      </c>
      <c r="E95" s="14" t="s">
        <v>181</v>
      </c>
      <c r="F95" s="14" t="s">
        <v>290</v>
      </c>
    </row>
    <row r="96" spans="1:6">
      <c r="A96" s="7">
        <v>94</v>
      </c>
      <c r="B96" s="7">
        <v>94</v>
      </c>
      <c r="C96" t="str">
        <f>VLOOKUP(B96,_Pitch!$A$2:$B$129,2,FALSE)</f>
        <v>A#5</v>
      </c>
      <c r="D96" s="14" t="s">
        <v>413</v>
      </c>
      <c r="E96" s="14" t="s">
        <v>210</v>
      </c>
      <c r="F96" s="14" t="s">
        <v>290</v>
      </c>
    </row>
    <row r="97" spans="1:6">
      <c r="A97" s="7">
        <v>95</v>
      </c>
      <c r="B97" s="7">
        <v>95</v>
      </c>
      <c r="C97" t="str">
        <f>VLOOKUP(B97,_Pitch!$A$2:$B$129,2,FALSE)</f>
        <v>B5</v>
      </c>
      <c r="D97" s="14" t="s">
        <v>413</v>
      </c>
      <c r="E97" s="14" t="s">
        <v>210</v>
      </c>
      <c r="F97" s="14" t="s">
        <v>290</v>
      </c>
    </row>
    <row r="98" spans="1:6">
      <c r="A98" s="7">
        <v>96</v>
      </c>
      <c r="B98" s="7">
        <v>96</v>
      </c>
      <c r="C98" t="str">
        <f>VLOOKUP(B98,_Pitch!$A$2:$B$129,2,FALSE)</f>
        <v>C6</v>
      </c>
      <c r="D98" s="14" t="s">
        <v>368</v>
      </c>
      <c r="E98" s="14" t="s">
        <v>206</v>
      </c>
      <c r="F98" s="14" t="s">
        <v>290</v>
      </c>
    </row>
    <row r="99" spans="1:6">
      <c r="A99" s="7">
        <v>97</v>
      </c>
      <c r="B99" s="7">
        <v>97</v>
      </c>
      <c r="C99" t="str">
        <f>VLOOKUP(B99,_Pitch!$A$2:$B$129,2,FALSE)</f>
        <v>C#6</v>
      </c>
      <c r="D99" s="14" t="s">
        <v>263</v>
      </c>
      <c r="E99" s="14" t="s">
        <v>181</v>
      </c>
      <c r="F99" s="14" t="s">
        <v>290</v>
      </c>
    </row>
    <row r="100" spans="1:6">
      <c r="A100" s="7">
        <v>98</v>
      </c>
      <c r="B100" s="7">
        <v>98</v>
      </c>
      <c r="C100" t="str">
        <f>VLOOKUP(B100,_Pitch!$A$2:$B$129,2,FALSE)</f>
        <v>D6</v>
      </c>
      <c r="D100" s="14" t="s">
        <v>414</v>
      </c>
      <c r="E100" s="14" t="s">
        <v>568</v>
      </c>
      <c r="F100" s="14" t="s">
        <v>290</v>
      </c>
    </row>
    <row r="101" spans="1:6">
      <c r="A101" s="7">
        <v>99</v>
      </c>
      <c r="B101" s="7">
        <v>99</v>
      </c>
      <c r="C101" t="str">
        <f>VLOOKUP(B101,_Pitch!$A$2:$B$129,2,FALSE)</f>
        <v>D#6</v>
      </c>
      <c r="D101" s="14" t="s">
        <v>263</v>
      </c>
      <c r="E101" s="14" t="s">
        <v>181</v>
      </c>
      <c r="F101" s="14" t="s">
        <v>290</v>
      </c>
    </row>
    <row r="102" spans="1:6">
      <c r="A102" s="7">
        <v>100</v>
      </c>
      <c r="B102" s="7">
        <v>100</v>
      </c>
      <c r="C102" t="str">
        <f>VLOOKUP(B102,_Pitch!$A$2:$B$129,2,FALSE)</f>
        <v>E6</v>
      </c>
      <c r="D102" s="14" t="s">
        <v>263</v>
      </c>
      <c r="E102" s="14" t="s">
        <v>181</v>
      </c>
      <c r="F102" s="14" t="s">
        <v>290</v>
      </c>
    </row>
    <row r="103" spans="1:6">
      <c r="A103" s="7">
        <v>101</v>
      </c>
      <c r="B103" s="7">
        <v>101</v>
      </c>
      <c r="C103" t="str">
        <f>VLOOKUP(B103,_Pitch!$A$2:$B$129,2,FALSE)</f>
        <v>F6</v>
      </c>
      <c r="D103" s="14" t="s">
        <v>369</v>
      </c>
      <c r="E103" s="14" t="s">
        <v>212</v>
      </c>
      <c r="F103" s="14" t="s">
        <v>290</v>
      </c>
    </row>
    <row r="104" spans="1:6">
      <c r="A104" s="7">
        <v>102</v>
      </c>
      <c r="B104" s="7">
        <v>102</v>
      </c>
      <c r="C104" t="str">
        <f>VLOOKUP(B104,_Pitch!$A$2:$B$129,2,FALSE)</f>
        <v>F#6</v>
      </c>
      <c r="D104" s="14" t="s">
        <v>263</v>
      </c>
      <c r="E104" s="14" t="s">
        <v>181</v>
      </c>
      <c r="F104" s="14" t="s">
        <v>290</v>
      </c>
    </row>
    <row r="105" spans="1:6">
      <c r="A105" s="7">
        <v>103</v>
      </c>
      <c r="B105" s="7">
        <v>103</v>
      </c>
      <c r="C105" t="str">
        <f>VLOOKUP(B105,_Pitch!$A$2:$B$129,2,FALSE)</f>
        <v>G6</v>
      </c>
      <c r="D105" s="14" t="s">
        <v>404</v>
      </c>
      <c r="E105" s="14" t="s">
        <v>569</v>
      </c>
      <c r="F105" s="14" t="s">
        <v>290</v>
      </c>
    </row>
    <row r="106" spans="1:6">
      <c r="A106" s="7">
        <v>104</v>
      </c>
      <c r="B106" s="7">
        <v>104</v>
      </c>
      <c r="C106" t="str">
        <f>VLOOKUP(B106,_Pitch!$A$2:$B$129,2,FALSE)</f>
        <v>G#6</v>
      </c>
      <c r="D106" s="14" t="s">
        <v>405</v>
      </c>
      <c r="E106" s="14" t="s">
        <v>175</v>
      </c>
      <c r="F106" s="14" t="s">
        <v>290</v>
      </c>
    </row>
    <row r="107" spans="1:6">
      <c r="A107" s="7">
        <v>105</v>
      </c>
      <c r="B107" s="7">
        <v>105</v>
      </c>
      <c r="C107" t="str">
        <f>VLOOKUP(B107,_Pitch!$A$2:$B$129,2,FALSE)</f>
        <v>A6</v>
      </c>
      <c r="D107" s="14" t="s">
        <v>263</v>
      </c>
      <c r="E107" s="14" t="s">
        <v>181</v>
      </c>
      <c r="F107" s="14" t="s">
        <v>290</v>
      </c>
    </row>
    <row r="108" spans="1:6">
      <c r="A108" s="7">
        <v>106</v>
      </c>
      <c r="B108" s="7">
        <v>106</v>
      </c>
      <c r="C108" t="str">
        <f>VLOOKUP(B108,_Pitch!$A$2:$B$129,2,FALSE)</f>
        <v>A#6</v>
      </c>
      <c r="D108" s="14" t="s">
        <v>408</v>
      </c>
      <c r="E108" s="14" t="s">
        <v>216</v>
      </c>
      <c r="F108" s="14" t="s">
        <v>290</v>
      </c>
    </row>
    <row r="109" spans="1:6">
      <c r="A109" s="7">
        <v>107</v>
      </c>
      <c r="B109" s="7">
        <v>107</v>
      </c>
      <c r="C109" t="str">
        <f>VLOOKUP(B109,_Pitch!$A$2:$B$129,2,FALSE)</f>
        <v>B6</v>
      </c>
      <c r="D109" s="14" t="s">
        <v>408</v>
      </c>
      <c r="E109" s="14" t="s">
        <v>216</v>
      </c>
      <c r="F109" s="14" t="s">
        <v>290</v>
      </c>
    </row>
    <row r="110" spans="1:6">
      <c r="A110" s="7">
        <v>108</v>
      </c>
      <c r="B110" s="7">
        <v>108</v>
      </c>
      <c r="C110" t="str">
        <f>VLOOKUP(B110,_Pitch!$A$2:$B$129,2,FALSE)</f>
        <v>C7</v>
      </c>
      <c r="D110" s="14" t="s">
        <v>405</v>
      </c>
      <c r="E110" s="14" t="s">
        <v>175</v>
      </c>
      <c r="F110" s="14" t="s">
        <v>290</v>
      </c>
    </row>
    <row r="111" spans="1:6">
      <c r="A111" s="7">
        <v>109</v>
      </c>
      <c r="B111" s="7">
        <v>109</v>
      </c>
      <c r="C111" t="str">
        <f>VLOOKUP(B111,_Pitch!$A$2:$B$129,2,FALSE)</f>
        <v>C#7</v>
      </c>
      <c r="D111" s="14" t="s">
        <v>263</v>
      </c>
      <c r="E111" s="14" t="s">
        <v>181</v>
      </c>
      <c r="F111" s="14" t="s">
        <v>290</v>
      </c>
    </row>
    <row r="112" spans="1:6">
      <c r="A112" s="7">
        <v>110</v>
      </c>
      <c r="B112" s="7">
        <v>110</v>
      </c>
      <c r="C112" t="str">
        <f>VLOOKUP(B112,_Pitch!$A$2:$B$129,2,FALSE)</f>
        <v>D7</v>
      </c>
      <c r="D112" s="14" t="s">
        <v>412</v>
      </c>
      <c r="E112" s="14" t="s">
        <v>179</v>
      </c>
      <c r="F112" s="14" t="s">
        <v>290</v>
      </c>
    </row>
    <row r="113" spans="1:6">
      <c r="A113" s="7">
        <v>111</v>
      </c>
      <c r="B113" s="7">
        <v>111</v>
      </c>
      <c r="C113" t="str">
        <f>VLOOKUP(B113,_Pitch!$A$2:$B$129,2,FALSE)</f>
        <v>D#7</v>
      </c>
      <c r="D113" s="14" t="s">
        <v>405</v>
      </c>
      <c r="E113" s="14" t="s">
        <v>175</v>
      </c>
      <c r="F113" s="14" t="s">
        <v>290</v>
      </c>
    </row>
    <row r="114" spans="1:6">
      <c r="A114" s="7">
        <v>112</v>
      </c>
      <c r="B114" s="7">
        <v>112</v>
      </c>
      <c r="C114" t="str">
        <f>VLOOKUP(B114,_Pitch!$A$2:$B$129,2,FALSE)</f>
        <v>E7</v>
      </c>
      <c r="D114" s="14" t="s">
        <v>263</v>
      </c>
      <c r="E114" s="14" t="s">
        <v>181</v>
      </c>
      <c r="F114" s="14" t="s">
        <v>290</v>
      </c>
    </row>
    <row r="115" spans="1:6">
      <c r="A115" s="7">
        <v>113</v>
      </c>
      <c r="B115" s="7">
        <v>113</v>
      </c>
      <c r="C115" t="str">
        <f>VLOOKUP(B115,_Pitch!$A$2:$B$129,2,FALSE)</f>
        <v>F7</v>
      </c>
      <c r="D115" s="14" t="s">
        <v>405</v>
      </c>
      <c r="E115" s="14" t="s">
        <v>175</v>
      </c>
      <c r="F115" s="14" t="s">
        <v>290</v>
      </c>
    </row>
    <row r="116" spans="1:6">
      <c r="A116" s="7">
        <v>114</v>
      </c>
      <c r="B116" s="7">
        <v>114</v>
      </c>
      <c r="C116" t="str">
        <f>VLOOKUP(B116,_Pitch!$A$2:$B$129,2,FALSE)</f>
        <v>F#7</v>
      </c>
      <c r="D116" s="14" t="s">
        <v>263</v>
      </c>
      <c r="E116" s="14" t="s">
        <v>181</v>
      </c>
      <c r="F116" s="14" t="s">
        <v>290</v>
      </c>
    </row>
    <row r="117" spans="1:6">
      <c r="A117" s="7">
        <v>115</v>
      </c>
      <c r="B117" s="7">
        <v>115</v>
      </c>
      <c r="C117" t="str">
        <f>VLOOKUP(B117,_Pitch!$A$2:$B$129,2,FALSE)</f>
        <v>G7</v>
      </c>
      <c r="D117" s="14" t="s">
        <v>412</v>
      </c>
      <c r="E117" s="14" t="s">
        <v>179</v>
      </c>
      <c r="F117" s="14" t="s">
        <v>290</v>
      </c>
    </row>
    <row r="118" spans="1:6">
      <c r="A118" s="7">
        <v>116</v>
      </c>
      <c r="B118" s="7">
        <v>116</v>
      </c>
      <c r="C118" t="str">
        <f>VLOOKUP(B118,_Pitch!$A$2:$B$129,2,FALSE)</f>
        <v>G#7</v>
      </c>
      <c r="D118" s="14" t="s">
        <v>405</v>
      </c>
      <c r="E118" s="14" t="s">
        <v>175</v>
      </c>
      <c r="F118" s="14" t="s">
        <v>290</v>
      </c>
    </row>
    <row r="119" spans="1:6">
      <c r="A119" s="7">
        <v>117</v>
      </c>
      <c r="B119" s="7">
        <v>117</v>
      </c>
      <c r="C119" t="str">
        <f>VLOOKUP(B119,_Pitch!$A$2:$B$129,2,FALSE)</f>
        <v>A7</v>
      </c>
      <c r="D119" s="14" t="s">
        <v>263</v>
      </c>
      <c r="E119" s="14" t="s">
        <v>181</v>
      </c>
      <c r="F119" s="14" t="s">
        <v>290</v>
      </c>
    </row>
    <row r="120" spans="1:6">
      <c r="A120" s="7">
        <v>118</v>
      </c>
      <c r="B120" s="7">
        <v>118</v>
      </c>
      <c r="C120" t="str">
        <f>VLOOKUP(B120,_Pitch!$A$2:$B$129,2,FALSE)</f>
        <v>A#7</v>
      </c>
      <c r="D120" s="14" t="s">
        <v>419</v>
      </c>
      <c r="E120" s="14" t="s">
        <v>183</v>
      </c>
      <c r="F120" s="14"/>
    </row>
    <row r="121" spans="1:6">
      <c r="A121" s="7">
        <v>119</v>
      </c>
      <c r="B121" s="7">
        <v>119</v>
      </c>
      <c r="C121" t="str">
        <f>VLOOKUP(B121,_Pitch!$A$2:$B$129,2,FALSE)</f>
        <v>B7</v>
      </c>
      <c r="D121" s="14" t="s">
        <v>153</v>
      </c>
      <c r="E121" s="14" t="s">
        <v>153</v>
      </c>
      <c r="F121" s="14" t="s">
        <v>290</v>
      </c>
    </row>
    <row r="122" spans="1:6">
      <c r="A122" s="7">
        <v>120</v>
      </c>
      <c r="B122" s="7">
        <v>120</v>
      </c>
      <c r="C122" t="str">
        <f>VLOOKUP(B122,_Pitch!$A$2:$B$129,2,FALSE)</f>
        <v>C8</v>
      </c>
      <c r="D122" s="14" t="s">
        <v>156</v>
      </c>
      <c r="E122" s="14" t="s">
        <v>156</v>
      </c>
      <c r="F122" s="14" t="s">
        <v>290</v>
      </c>
    </row>
    <row r="123" spans="1:6">
      <c r="A123" s="7">
        <v>121</v>
      </c>
      <c r="B123" s="7">
        <v>121</v>
      </c>
      <c r="C123" t="str">
        <f>VLOOKUP(B123,_Pitch!$A$2:$B$129,2,FALSE)</f>
        <v>C#8</v>
      </c>
      <c r="D123" s="14" t="s">
        <v>162</v>
      </c>
      <c r="E123" s="14" t="s">
        <v>162</v>
      </c>
      <c r="F123" s="14" t="s">
        <v>290</v>
      </c>
    </row>
    <row r="124" spans="1:6">
      <c r="A124" s="7">
        <v>122</v>
      </c>
      <c r="B124" s="7">
        <v>122</v>
      </c>
      <c r="C124" t="str">
        <f>VLOOKUP(B124,_Pitch!$A$2:$B$129,2,FALSE)</f>
        <v>D8</v>
      </c>
      <c r="D124" s="14" t="s">
        <v>149</v>
      </c>
      <c r="E124" s="14" t="s">
        <v>149</v>
      </c>
      <c r="F124" s="14" t="s">
        <v>290</v>
      </c>
    </row>
    <row r="125" spans="1:6">
      <c r="A125" s="7">
        <v>123</v>
      </c>
      <c r="B125" s="7">
        <v>123</v>
      </c>
      <c r="C125" t="str">
        <f>VLOOKUP(B125,_Pitch!$A$2:$B$129,2,FALSE)</f>
        <v>D#8</v>
      </c>
      <c r="D125" s="14" t="s">
        <v>160</v>
      </c>
      <c r="E125" s="14" t="s">
        <v>160</v>
      </c>
      <c r="F125" s="14" t="s">
        <v>290</v>
      </c>
    </row>
    <row r="126" spans="1:6">
      <c r="A126" s="7">
        <v>124</v>
      </c>
      <c r="B126" s="7">
        <v>124</v>
      </c>
      <c r="C126" t="str">
        <f>VLOOKUP(B126,_Pitch!$A$2:$B$129,2,FALSE)</f>
        <v>E8</v>
      </c>
      <c r="D126" s="14" t="s">
        <v>163</v>
      </c>
      <c r="E126" s="14" t="s">
        <v>163</v>
      </c>
      <c r="F126" s="14"/>
    </row>
    <row r="127" spans="1:6">
      <c r="A127" s="7">
        <v>125</v>
      </c>
      <c r="B127" s="7">
        <v>125</v>
      </c>
      <c r="C127" t="str">
        <f>VLOOKUP(B127,_Pitch!$A$2:$B$129,2,FALSE)</f>
        <v>F8</v>
      </c>
      <c r="D127" s="14" t="s">
        <v>136</v>
      </c>
      <c r="E127" s="14" t="s">
        <v>561</v>
      </c>
      <c r="F127" s="14" t="s">
        <v>290</v>
      </c>
    </row>
    <row r="128" spans="1:6">
      <c r="A128" s="7">
        <v>126</v>
      </c>
      <c r="B128" s="7">
        <v>126</v>
      </c>
      <c r="C128" t="str">
        <f>VLOOKUP(B128,_Pitch!$A$2:$B$129,2,FALSE)</f>
        <v>F#8</v>
      </c>
      <c r="D128" s="14" t="s">
        <v>234</v>
      </c>
      <c r="E128" s="14" t="s">
        <v>1077</v>
      </c>
      <c r="F128" s="14" t="s">
        <v>290</v>
      </c>
    </row>
    <row r="129" spans="1:6">
      <c r="A129" s="7">
        <v>127</v>
      </c>
      <c r="B129" s="7">
        <v>127</v>
      </c>
      <c r="C129" t="str">
        <f>VLOOKUP(B129,_Pitch!$A$2:$B$129,2,FALSE)</f>
        <v>G8</v>
      </c>
      <c r="D129" s="14" t="s">
        <v>145</v>
      </c>
      <c r="E129" s="14" t="s">
        <v>145</v>
      </c>
      <c r="F129" s="14" t="s">
        <v>290</v>
      </c>
    </row>
  </sheetData>
  <autoFilter ref="A1:G129" xr:uid="{2C64A6C4-67F8-4588-911E-943C96C8622D}"/>
  <phoneticPr fontId="1"/>
  <dataValidations count="1">
    <dataValidation type="list" allowBlank="1" showInputMessage="1" showErrorMessage="1" sqref="F2:F129" xr:uid="{CB0217B2-8671-4446-922C-28AA5E10898B}">
      <formula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CD4C9DF-D1DB-4BEF-BF75-A3C14CF53CE5}">
          <x14:formula1>
            <xm:f>_Articulation!$B$2:B$158</xm:f>
          </x14:formula1>
          <xm:sqref>E2:E129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E4100-DAB7-4DB2-A28C-A24B1113BC9F}">
  <sheetPr codeName="Sheet9"/>
  <dimension ref="A1:G129"/>
  <sheetViews>
    <sheetView workbookViewId="0">
      <pane ySplit="1" topLeftCell="A2" activePane="bottomLeft" state="frozen"/>
      <selection activeCell="D14" sqref="D14"/>
      <selection pane="bottomLeft" activeCell="D14" sqref="D14"/>
    </sheetView>
  </sheetViews>
  <sheetFormatPr defaultRowHeight="13.5"/>
  <cols>
    <col min="1" max="1" width="4.5" style="7" bestFit="1" customWidth="1"/>
    <col min="2" max="2" width="4.5" bestFit="1" customWidth="1"/>
    <col min="3" max="3" width="5.5" bestFit="1" customWidth="1"/>
    <col min="4" max="4" width="45.625" customWidth="1"/>
    <col min="5" max="5" width="28.25" customWidth="1"/>
    <col min="6" max="6" width="10.25" customWidth="1"/>
  </cols>
  <sheetData>
    <row r="1" spans="1:7" s="6" customFormat="1" ht="141.75" customHeight="1">
      <c r="A1" s="15" t="s">
        <v>130</v>
      </c>
      <c r="B1" s="15" t="s">
        <v>1105</v>
      </c>
      <c r="C1" s="15" t="s">
        <v>1106</v>
      </c>
      <c r="D1" s="16" t="s">
        <v>131</v>
      </c>
      <c r="E1" s="23" t="s">
        <v>132</v>
      </c>
      <c r="F1" s="17" t="s">
        <v>664</v>
      </c>
      <c r="G1" s="15" t="s">
        <v>696</v>
      </c>
    </row>
    <row r="2" spans="1:7">
      <c r="A2" s="7">
        <v>0</v>
      </c>
      <c r="B2" s="7">
        <v>0</v>
      </c>
      <c r="C2" t="str">
        <f>VLOOKUP(B2,_Pitch!$A$2:$B$129,2,FALSE)</f>
        <v>C-2</v>
      </c>
      <c r="D2" s="14"/>
      <c r="E2" s="14"/>
      <c r="F2" s="14"/>
    </row>
    <row r="3" spans="1:7">
      <c r="A3" s="7">
        <v>1</v>
      </c>
      <c r="B3" s="7">
        <v>1</v>
      </c>
      <c r="C3" t="str">
        <f>VLOOKUP(B3,_Pitch!$A$2:$B$129,2,FALSE)</f>
        <v>C#-2</v>
      </c>
      <c r="D3" s="14" t="s">
        <v>397</v>
      </c>
      <c r="E3" s="14"/>
      <c r="F3" s="14"/>
    </row>
    <row r="4" spans="1:7">
      <c r="A4" s="7">
        <v>2</v>
      </c>
      <c r="B4" s="7">
        <v>2</v>
      </c>
      <c r="C4" t="str">
        <f>VLOOKUP(B4,_Pitch!$A$2:$B$129,2,FALSE)</f>
        <v>D-2</v>
      </c>
      <c r="D4" s="14" t="s">
        <v>398</v>
      </c>
      <c r="E4" s="14"/>
      <c r="F4" s="14"/>
    </row>
    <row r="5" spans="1:7">
      <c r="A5" s="7">
        <v>3</v>
      </c>
      <c r="B5" s="7">
        <v>3</v>
      </c>
      <c r="C5" t="str">
        <f>VLOOKUP(B5,_Pitch!$A$2:$B$129,2,FALSE)</f>
        <v>D#-2</v>
      </c>
      <c r="D5" s="14" t="s">
        <v>399</v>
      </c>
      <c r="E5" s="14"/>
      <c r="F5" s="14"/>
    </row>
    <row r="6" spans="1:7">
      <c r="A6" s="7">
        <v>4</v>
      </c>
      <c r="B6" s="7">
        <v>4</v>
      </c>
      <c r="C6" t="str">
        <f>VLOOKUP(B6,_Pitch!$A$2:$B$129,2,FALSE)</f>
        <v>E-2</v>
      </c>
      <c r="D6" s="14"/>
      <c r="E6" s="14"/>
      <c r="F6" s="14"/>
    </row>
    <row r="7" spans="1:7">
      <c r="A7" s="7">
        <v>5</v>
      </c>
      <c r="B7" s="7">
        <v>5</v>
      </c>
      <c r="C7" t="str">
        <f>VLOOKUP(B7,_Pitch!$A$2:$B$129,2,FALSE)</f>
        <v>F-2</v>
      </c>
      <c r="D7" s="14"/>
      <c r="E7" s="14"/>
      <c r="F7" s="14"/>
    </row>
    <row r="8" spans="1:7">
      <c r="A8" s="7">
        <v>6</v>
      </c>
      <c r="B8" s="7">
        <v>6</v>
      </c>
      <c r="C8" t="str">
        <f>VLOOKUP(B8,_Pitch!$A$2:$B$129,2,FALSE)</f>
        <v>F#-2</v>
      </c>
      <c r="D8" s="14" t="s">
        <v>136</v>
      </c>
      <c r="E8" s="14" t="s">
        <v>561</v>
      </c>
      <c r="F8" s="14" t="s">
        <v>290</v>
      </c>
    </row>
    <row r="9" spans="1:7">
      <c r="A9" s="7">
        <v>7</v>
      </c>
      <c r="B9" s="7">
        <v>7</v>
      </c>
      <c r="C9" t="str">
        <f>VLOOKUP(B9,_Pitch!$A$2:$B$129,2,FALSE)</f>
        <v>G-2</v>
      </c>
      <c r="D9" s="14" t="s">
        <v>431</v>
      </c>
      <c r="E9" s="14"/>
      <c r="F9" s="14"/>
    </row>
    <row r="10" spans="1:7">
      <c r="A10" s="7">
        <v>8</v>
      </c>
      <c r="B10" s="7">
        <v>8</v>
      </c>
      <c r="C10" t="str">
        <f>VLOOKUP(B10,_Pitch!$A$2:$B$129,2,FALSE)</f>
        <v>G#-2</v>
      </c>
      <c r="D10" s="14" t="s">
        <v>432</v>
      </c>
      <c r="E10" s="14"/>
      <c r="F10" s="14"/>
    </row>
    <row r="11" spans="1:7">
      <c r="A11" s="7">
        <v>9</v>
      </c>
      <c r="B11" s="7">
        <v>9</v>
      </c>
      <c r="C11" t="str">
        <f>VLOOKUP(B11,_Pitch!$A$2:$B$129,2,FALSE)</f>
        <v>A-2</v>
      </c>
      <c r="D11" s="14" t="s">
        <v>433</v>
      </c>
      <c r="E11" s="14"/>
      <c r="F11" s="14"/>
    </row>
    <row r="12" spans="1:7">
      <c r="A12" s="7">
        <v>10</v>
      </c>
      <c r="B12" s="7">
        <v>10</v>
      </c>
      <c r="C12" t="str">
        <f>VLOOKUP(B12,_Pitch!$A$2:$B$129,2,FALSE)</f>
        <v>A#-2</v>
      </c>
      <c r="D12" s="14" t="s">
        <v>1068</v>
      </c>
      <c r="E12" s="14" t="s">
        <v>1068</v>
      </c>
      <c r="F12" s="14" t="s">
        <v>290</v>
      </c>
    </row>
    <row r="13" spans="1:7">
      <c r="A13" s="7">
        <v>11</v>
      </c>
      <c r="B13" s="7">
        <v>11</v>
      </c>
      <c r="C13" t="str">
        <f>VLOOKUP(B13,_Pitch!$A$2:$B$129,2,FALSE)</f>
        <v>B-2</v>
      </c>
      <c r="D13" s="14" t="s">
        <v>149</v>
      </c>
      <c r="E13" s="14" t="s">
        <v>149</v>
      </c>
      <c r="F13" s="14" t="s">
        <v>290</v>
      </c>
    </row>
    <row r="14" spans="1:7">
      <c r="A14" s="7">
        <v>12</v>
      </c>
      <c r="B14" s="7">
        <v>12</v>
      </c>
      <c r="C14" t="str">
        <f>VLOOKUP(B14,_Pitch!$A$2:$B$129,2,FALSE)</f>
        <v>C-1</v>
      </c>
      <c r="D14" s="14" t="s">
        <v>434</v>
      </c>
      <c r="E14" s="14" t="s">
        <v>159</v>
      </c>
      <c r="F14" s="14" t="s">
        <v>290</v>
      </c>
    </row>
    <row r="15" spans="1:7">
      <c r="A15" s="7">
        <v>13</v>
      </c>
      <c r="B15" s="7">
        <v>13</v>
      </c>
      <c r="C15" t="str">
        <f>VLOOKUP(B15,_Pitch!$A$2:$B$129,2,FALSE)</f>
        <v>C#-1</v>
      </c>
      <c r="D15" s="14" t="s">
        <v>435</v>
      </c>
      <c r="E15" s="14" t="s">
        <v>160</v>
      </c>
      <c r="F15" s="14" t="s">
        <v>290</v>
      </c>
    </row>
    <row r="16" spans="1:7">
      <c r="A16" s="7">
        <v>14</v>
      </c>
      <c r="B16" s="7">
        <v>14</v>
      </c>
      <c r="C16" t="str">
        <f>VLOOKUP(B16,_Pitch!$A$2:$B$129,2,FALSE)</f>
        <v>D-1</v>
      </c>
      <c r="D16" s="14" t="s">
        <v>436</v>
      </c>
      <c r="E16" s="14" t="s">
        <v>161</v>
      </c>
      <c r="F16" s="14" t="s">
        <v>290</v>
      </c>
    </row>
    <row r="17" spans="1:6">
      <c r="A17" s="7">
        <v>15</v>
      </c>
      <c r="B17" s="7">
        <v>15</v>
      </c>
      <c r="C17" t="str">
        <f>VLOOKUP(B17,_Pitch!$A$2:$B$129,2,FALSE)</f>
        <v>D#-1</v>
      </c>
      <c r="D17" s="14" t="s">
        <v>436</v>
      </c>
      <c r="E17" s="14" t="s">
        <v>161</v>
      </c>
      <c r="F17" s="14" t="s">
        <v>290</v>
      </c>
    </row>
    <row r="18" spans="1:6">
      <c r="A18" s="7">
        <v>16</v>
      </c>
      <c r="B18" s="7">
        <v>16</v>
      </c>
      <c r="C18" t="str">
        <f>VLOOKUP(B18,_Pitch!$A$2:$B$129,2,FALSE)</f>
        <v>E-1</v>
      </c>
      <c r="D18" s="14" t="s">
        <v>437</v>
      </c>
      <c r="E18" s="14" t="s">
        <v>162</v>
      </c>
      <c r="F18" s="14" t="s">
        <v>290</v>
      </c>
    </row>
    <row r="19" spans="1:6">
      <c r="A19" s="7">
        <v>17</v>
      </c>
      <c r="B19" s="7">
        <v>17</v>
      </c>
      <c r="C19" t="str">
        <f>VLOOKUP(B19,_Pitch!$A$2:$B$129,2,FALSE)</f>
        <v>F-1</v>
      </c>
      <c r="D19" s="14" t="s">
        <v>437</v>
      </c>
      <c r="E19" s="14" t="s">
        <v>162</v>
      </c>
      <c r="F19" s="14" t="s">
        <v>290</v>
      </c>
    </row>
    <row r="20" spans="1:6">
      <c r="A20" s="7">
        <v>18</v>
      </c>
      <c r="B20" s="7">
        <v>18</v>
      </c>
      <c r="C20" t="str">
        <f>VLOOKUP(B20,_Pitch!$A$2:$B$129,2,FALSE)</f>
        <v>F#-1</v>
      </c>
      <c r="D20" s="14" t="s">
        <v>431</v>
      </c>
      <c r="E20" s="14"/>
      <c r="F20" s="14"/>
    </row>
    <row r="21" spans="1:6">
      <c r="A21" s="7">
        <v>19</v>
      </c>
      <c r="B21" s="7">
        <v>19</v>
      </c>
      <c r="C21" t="str">
        <f>VLOOKUP(B21,_Pitch!$A$2:$B$129,2,FALSE)</f>
        <v>G-1</v>
      </c>
      <c r="D21" s="14" t="s">
        <v>432</v>
      </c>
      <c r="E21" s="14"/>
      <c r="F21" s="14"/>
    </row>
    <row r="22" spans="1:6">
      <c r="A22" s="7">
        <v>20</v>
      </c>
      <c r="B22" s="7">
        <v>20</v>
      </c>
      <c r="C22" t="str">
        <f>VLOOKUP(B22,_Pitch!$A$2:$B$129,2,FALSE)</f>
        <v>G#-1</v>
      </c>
      <c r="D22" s="14" t="s">
        <v>432</v>
      </c>
      <c r="E22" s="14"/>
      <c r="F22" s="14"/>
    </row>
    <row r="23" spans="1:6">
      <c r="A23" s="7">
        <v>21</v>
      </c>
      <c r="B23" s="7">
        <v>21</v>
      </c>
      <c r="C23" t="str">
        <f>VLOOKUP(B23,_Pitch!$A$2:$B$129,2,FALSE)</f>
        <v>A-1</v>
      </c>
      <c r="D23" s="14" t="s">
        <v>1068</v>
      </c>
      <c r="E23" s="14" t="s">
        <v>1068</v>
      </c>
      <c r="F23" s="14" t="s">
        <v>290</v>
      </c>
    </row>
    <row r="24" spans="1:6">
      <c r="A24" s="7">
        <v>22</v>
      </c>
      <c r="B24" s="7">
        <v>22</v>
      </c>
      <c r="C24" t="str">
        <f>VLOOKUP(B24,_Pitch!$A$2:$B$129,2,FALSE)</f>
        <v>A#-1</v>
      </c>
      <c r="D24" s="14" t="s">
        <v>149</v>
      </c>
      <c r="E24" s="14" t="s">
        <v>149</v>
      </c>
      <c r="F24" s="14"/>
    </row>
    <row r="25" spans="1:6">
      <c r="A25" s="7">
        <v>23</v>
      </c>
      <c r="B25" s="7">
        <v>23</v>
      </c>
      <c r="C25" t="str">
        <f>VLOOKUP(B25,_Pitch!$A$2:$B$129,2,FALSE)</f>
        <v>B-1</v>
      </c>
      <c r="D25" s="14" t="s">
        <v>403</v>
      </c>
      <c r="E25" s="14" t="s">
        <v>403</v>
      </c>
      <c r="F25" s="14"/>
    </row>
    <row r="26" spans="1:6">
      <c r="A26" s="7">
        <v>24</v>
      </c>
      <c r="B26" s="7">
        <v>24</v>
      </c>
      <c r="C26" t="str">
        <f>VLOOKUP(B26,_Pitch!$A$2:$B$129,2,FALSE)</f>
        <v>C0</v>
      </c>
      <c r="D26" s="14" t="s">
        <v>434</v>
      </c>
      <c r="E26" s="14" t="s">
        <v>159</v>
      </c>
      <c r="F26" s="14"/>
    </row>
    <row r="27" spans="1:6">
      <c r="A27" s="7">
        <v>25</v>
      </c>
      <c r="B27" s="7">
        <v>25</v>
      </c>
      <c r="C27" t="str">
        <f>VLOOKUP(B27,_Pitch!$A$2:$B$129,2,FALSE)</f>
        <v>C#0</v>
      </c>
      <c r="D27" s="14" t="s">
        <v>435</v>
      </c>
      <c r="E27" s="14" t="s">
        <v>160</v>
      </c>
      <c r="F27" s="14" t="s">
        <v>290</v>
      </c>
    </row>
    <row r="28" spans="1:6">
      <c r="A28" s="7">
        <v>26</v>
      </c>
      <c r="B28" s="7">
        <v>26</v>
      </c>
      <c r="C28" t="str">
        <f>VLOOKUP(B28,_Pitch!$A$2:$B$129,2,FALSE)</f>
        <v>D0</v>
      </c>
      <c r="D28" s="14" t="s">
        <v>436</v>
      </c>
      <c r="E28" s="14" t="s">
        <v>161</v>
      </c>
      <c r="F28" s="14"/>
    </row>
    <row r="29" spans="1:6">
      <c r="A29" s="7">
        <v>27</v>
      </c>
      <c r="B29" s="7">
        <v>27</v>
      </c>
      <c r="C29" t="str">
        <f>VLOOKUP(B29,_Pitch!$A$2:$B$129,2,FALSE)</f>
        <v>D#0</v>
      </c>
      <c r="D29" s="14" t="s">
        <v>438</v>
      </c>
      <c r="E29" s="14" t="s">
        <v>568</v>
      </c>
      <c r="F29" s="14" t="s">
        <v>290</v>
      </c>
    </row>
    <row r="30" spans="1:6">
      <c r="A30" s="7">
        <v>28</v>
      </c>
      <c r="B30" s="7">
        <v>28</v>
      </c>
      <c r="C30" t="str">
        <f>VLOOKUP(B30,_Pitch!$A$2:$B$129,2,FALSE)</f>
        <v>E0</v>
      </c>
      <c r="D30" s="14" t="s">
        <v>438</v>
      </c>
      <c r="E30" s="14" t="s">
        <v>568</v>
      </c>
      <c r="F30" s="14" t="s">
        <v>290</v>
      </c>
    </row>
    <row r="31" spans="1:6">
      <c r="A31" s="7">
        <v>29</v>
      </c>
      <c r="B31" s="7">
        <v>29</v>
      </c>
      <c r="C31" t="str">
        <f>VLOOKUP(B31,_Pitch!$A$2:$B$129,2,FALSE)</f>
        <v>F0</v>
      </c>
      <c r="D31" s="14" t="s">
        <v>438</v>
      </c>
      <c r="E31" s="14" t="s">
        <v>568</v>
      </c>
      <c r="F31" s="14" t="s">
        <v>290</v>
      </c>
    </row>
    <row r="32" spans="1:6">
      <c r="A32" s="7">
        <v>30</v>
      </c>
      <c r="B32" s="7">
        <v>30</v>
      </c>
      <c r="C32" t="str">
        <f>VLOOKUP(B32,_Pitch!$A$2:$B$129,2,FALSE)</f>
        <v>F#0</v>
      </c>
      <c r="D32" s="14" t="s">
        <v>412</v>
      </c>
      <c r="E32" s="14" t="s">
        <v>182</v>
      </c>
      <c r="F32" s="14" t="s">
        <v>290</v>
      </c>
    </row>
    <row r="33" spans="1:6">
      <c r="A33" s="7">
        <v>31</v>
      </c>
      <c r="B33" s="7">
        <v>31</v>
      </c>
      <c r="C33" t="str">
        <f>VLOOKUP(B33,_Pitch!$A$2:$B$129,2,FALSE)</f>
        <v>G0</v>
      </c>
      <c r="D33" s="14" t="s">
        <v>412</v>
      </c>
      <c r="E33" s="14" t="s">
        <v>182</v>
      </c>
      <c r="F33" s="14" t="s">
        <v>290</v>
      </c>
    </row>
    <row r="34" spans="1:6">
      <c r="A34" s="7">
        <v>32</v>
      </c>
      <c r="B34" s="7">
        <v>32</v>
      </c>
      <c r="C34" t="str">
        <f>VLOOKUP(B34,_Pitch!$A$2:$B$129,2,FALSE)</f>
        <v>G#0</v>
      </c>
      <c r="D34" s="14" t="s">
        <v>412</v>
      </c>
      <c r="E34" s="14" t="s">
        <v>182</v>
      </c>
      <c r="F34" s="14" t="s">
        <v>290</v>
      </c>
    </row>
    <row r="35" spans="1:6">
      <c r="A35" s="7">
        <v>33</v>
      </c>
      <c r="B35" s="7">
        <v>33</v>
      </c>
      <c r="C35" t="str">
        <f>VLOOKUP(B35,_Pitch!$A$2:$B$129,2,FALSE)</f>
        <v>A0</v>
      </c>
      <c r="D35" s="14" t="s">
        <v>439</v>
      </c>
      <c r="E35" s="14" t="s">
        <v>562</v>
      </c>
      <c r="F35" s="14"/>
    </row>
    <row r="36" spans="1:6">
      <c r="A36" s="7">
        <v>34</v>
      </c>
      <c r="B36" s="7">
        <v>34</v>
      </c>
      <c r="C36" t="str">
        <f>VLOOKUP(B36,_Pitch!$A$2:$B$129,2,FALSE)</f>
        <v>A#0</v>
      </c>
      <c r="D36" s="14" t="s">
        <v>135</v>
      </c>
      <c r="E36" s="14" t="s">
        <v>133</v>
      </c>
      <c r="F36" s="14" t="s">
        <v>290</v>
      </c>
    </row>
    <row r="37" spans="1:6">
      <c r="A37" s="7">
        <v>35</v>
      </c>
      <c r="B37" s="7">
        <v>35</v>
      </c>
      <c r="C37" t="str">
        <f>VLOOKUP(B37,_Pitch!$A$2:$B$129,2,FALSE)</f>
        <v>B0</v>
      </c>
      <c r="D37" s="14" t="s">
        <v>133</v>
      </c>
      <c r="E37" s="14" t="s">
        <v>135</v>
      </c>
      <c r="F37" s="14"/>
    </row>
    <row r="38" spans="1:6">
      <c r="A38" s="7">
        <v>36</v>
      </c>
      <c r="B38" s="7">
        <v>36</v>
      </c>
      <c r="C38" t="str">
        <f>VLOOKUP(B38,_Pitch!$A$2:$B$129,2,FALSE)</f>
        <v>C1</v>
      </c>
      <c r="D38" s="14" t="s">
        <v>135</v>
      </c>
      <c r="E38" s="14" t="s">
        <v>133</v>
      </c>
      <c r="F38" s="14"/>
    </row>
    <row r="39" spans="1:6">
      <c r="A39" s="7">
        <v>37</v>
      </c>
      <c r="B39" s="7">
        <v>37</v>
      </c>
      <c r="C39" t="str">
        <f>VLOOKUP(B39,_Pitch!$A$2:$B$129,2,FALSE)</f>
        <v>C#1</v>
      </c>
      <c r="D39" s="14" t="s">
        <v>145</v>
      </c>
      <c r="E39" s="14" t="s">
        <v>145</v>
      </c>
      <c r="F39" s="14"/>
    </row>
    <row r="40" spans="1:6">
      <c r="A40" s="7">
        <v>38</v>
      </c>
      <c r="B40" s="7">
        <v>38</v>
      </c>
      <c r="C40" t="str">
        <f>VLOOKUP(B40,_Pitch!$A$2:$B$129,2,FALSE)</f>
        <v>D1</v>
      </c>
      <c r="D40" s="14" t="s">
        <v>136</v>
      </c>
      <c r="E40" s="14" t="s">
        <v>561</v>
      </c>
      <c r="F40" s="14"/>
    </row>
    <row r="41" spans="1:6">
      <c r="A41" s="7">
        <v>39</v>
      </c>
      <c r="B41" s="7">
        <v>39</v>
      </c>
      <c r="C41" t="str">
        <f>VLOOKUP(B41,_Pitch!$A$2:$B$129,2,FALSE)</f>
        <v>D#1</v>
      </c>
      <c r="D41" s="14" t="s">
        <v>661</v>
      </c>
      <c r="E41" s="14"/>
      <c r="F41" s="14"/>
    </row>
    <row r="42" spans="1:6">
      <c r="A42" s="7">
        <v>40</v>
      </c>
      <c r="B42" s="7">
        <v>40</v>
      </c>
      <c r="C42" t="str">
        <f>VLOOKUP(B42,_Pitch!$A$2:$B$129,2,FALSE)</f>
        <v>E1</v>
      </c>
      <c r="D42" s="14" t="s">
        <v>234</v>
      </c>
      <c r="E42" s="14" t="s">
        <v>1077</v>
      </c>
      <c r="F42" s="14"/>
    </row>
    <row r="43" spans="1:6">
      <c r="A43" s="7">
        <v>41</v>
      </c>
      <c r="B43" s="7">
        <v>41</v>
      </c>
      <c r="C43" t="str">
        <f>VLOOKUP(B43,_Pitch!$A$2:$B$129,2,FALSE)</f>
        <v>F1</v>
      </c>
      <c r="D43" s="14" t="s">
        <v>440</v>
      </c>
      <c r="E43" s="14" t="s">
        <v>555</v>
      </c>
      <c r="F43" s="14"/>
    </row>
    <row r="44" spans="1:6">
      <c r="A44" s="7">
        <v>42</v>
      </c>
      <c r="B44" s="7">
        <v>42</v>
      </c>
      <c r="C44" t="str">
        <f>VLOOKUP(B44,_Pitch!$A$2:$B$129,2,FALSE)</f>
        <v>F#1</v>
      </c>
      <c r="D44" s="14" t="s">
        <v>153</v>
      </c>
      <c r="E44" s="14" t="s">
        <v>153</v>
      </c>
      <c r="F44" s="14"/>
    </row>
    <row r="45" spans="1:6">
      <c r="A45" s="7">
        <v>43</v>
      </c>
      <c r="B45" s="7">
        <v>43</v>
      </c>
      <c r="C45" t="str">
        <f>VLOOKUP(B45,_Pitch!$A$2:$B$129,2,FALSE)</f>
        <v>G1</v>
      </c>
      <c r="D45" s="14" t="s">
        <v>427</v>
      </c>
      <c r="E45" s="14" t="s">
        <v>558</v>
      </c>
      <c r="F45" s="14"/>
    </row>
    <row r="46" spans="1:6">
      <c r="A46" s="7">
        <v>44</v>
      </c>
      <c r="B46" s="7">
        <v>44</v>
      </c>
      <c r="C46" t="str">
        <f>VLOOKUP(B46,_Pitch!$A$2:$B$129,2,FALSE)</f>
        <v>G#1</v>
      </c>
      <c r="D46" s="14" t="s">
        <v>1068</v>
      </c>
      <c r="E46" s="14" t="s">
        <v>1068</v>
      </c>
      <c r="F46" s="14"/>
    </row>
    <row r="47" spans="1:6">
      <c r="A47" s="7">
        <v>45</v>
      </c>
      <c r="B47" s="7">
        <v>45</v>
      </c>
      <c r="C47" t="str">
        <f>VLOOKUP(B47,_Pitch!$A$2:$B$129,2,FALSE)</f>
        <v>A1</v>
      </c>
      <c r="D47" s="14" t="s">
        <v>1006</v>
      </c>
      <c r="E47" s="14"/>
      <c r="F47" s="14"/>
    </row>
    <row r="48" spans="1:6">
      <c r="A48" s="7">
        <v>46</v>
      </c>
      <c r="B48" s="7">
        <v>46</v>
      </c>
      <c r="C48" t="str">
        <f>VLOOKUP(B48,_Pitch!$A$2:$B$129,2,FALSE)</f>
        <v>A#1</v>
      </c>
      <c r="D48" s="14" t="s">
        <v>435</v>
      </c>
      <c r="E48" s="14" t="s">
        <v>160</v>
      </c>
      <c r="F48" s="14"/>
    </row>
    <row r="49" spans="1:6">
      <c r="A49" s="7">
        <v>47</v>
      </c>
      <c r="B49" s="7">
        <v>47</v>
      </c>
      <c r="C49" t="str">
        <f>VLOOKUP(B49,_Pitch!$A$2:$B$129,2,FALSE)</f>
        <v>B1</v>
      </c>
      <c r="D49" s="14" t="s">
        <v>1005</v>
      </c>
      <c r="E49" s="14" t="s">
        <v>559</v>
      </c>
      <c r="F49" s="14"/>
    </row>
    <row r="50" spans="1:6">
      <c r="A50" s="7">
        <v>48</v>
      </c>
      <c r="B50" s="7">
        <v>48</v>
      </c>
      <c r="C50" t="str">
        <f>VLOOKUP(B50,_Pitch!$A$2:$B$129,2,FALSE)</f>
        <v>C2</v>
      </c>
      <c r="D50" s="14" t="s">
        <v>1000</v>
      </c>
      <c r="E50" s="14" t="s">
        <v>560</v>
      </c>
      <c r="F50" s="14"/>
    </row>
    <row r="51" spans="1:6">
      <c r="A51" s="7">
        <v>49</v>
      </c>
      <c r="B51" s="7">
        <v>49</v>
      </c>
      <c r="C51" t="str">
        <f>VLOOKUP(B51,_Pitch!$A$2:$B$129,2,FALSE)</f>
        <v>C#2</v>
      </c>
      <c r="D51" s="14" t="s">
        <v>438</v>
      </c>
      <c r="E51" s="14" t="s">
        <v>568</v>
      </c>
      <c r="F51" s="14"/>
    </row>
    <row r="52" spans="1:6">
      <c r="A52" s="7">
        <v>50</v>
      </c>
      <c r="B52" s="7">
        <v>50</v>
      </c>
      <c r="C52" t="str">
        <f>VLOOKUP(B52,_Pitch!$A$2:$B$129,2,FALSE)</f>
        <v>D2</v>
      </c>
      <c r="D52" s="14" t="s">
        <v>441</v>
      </c>
      <c r="E52" s="14" t="s">
        <v>210</v>
      </c>
      <c r="F52" s="14"/>
    </row>
    <row r="53" spans="1:6">
      <c r="A53" s="7">
        <v>51</v>
      </c>
      <c r="B53" s="7">
        <v>51</v>
      </c>
      <c r="C53" t="str">
        <f>VLOOKUP(B53,_Pitch!$A$2:$B$129,2,FALSE)</f>
        <v>D#2</v>
      </c>
      <c r="D53" s="14" t="s">
        <v>421</v>
      </c>
      <c r="E53" s="14" t="s">
        <v>175</v>
      </c>
      <c r="F53" s="14"/>
    </row>
    <row r="54" spans="1:6">
      <c r="A54" s="7">
        <v>52</v>
      </c>
      <c r="B54" s="7">
        <v>52</v>
      </c>
      <c r="C54" t="str">
        <f>VLOOKUP(B54,_Pitch!$A$2:$B$129,2,FALSE)</f>
        <v>E2</v>
      </c>
      <c r="D54" s="14" t="s">
        <v>442</v>
      </c>
      <c r="E54" s="14" t="s">
        <v>179</v>
      </c>
      <c r="F54" s="14"/>
    </row>
    <row r="55" spans="1:6">
      <c r="A55" s="7">
        <v>53</v>
      </c>
      <c r="B55" s="7">
        <v>53</v>
      </c>
      <c r="C55" t="str">
        <f>VLOOKUP(B55,_Pitch!$A$2:$B$129,2,FALSE)</f>
        <v>F2</v>
      </c>
      <c r="D55" s="14" t="s">
        <v>443</v>
      </c>
      <c r="E55" s="14" t="s">
        <v>181</v>
      </c>
      <c r="F55" s="14"/>
    </row>
    <row r="56" spans="1:6">
      <c r="A56" s="7">
        <v>54</v>
      </c>
      <c r="B56" s="7">
        <v>54</v>
      </c>
      <c r="C56" t="str">
        <f>VLOOKUP(B56,_Pitch!$A$2:$B$129,2,FALSE)</f>
        <v>F#2</v>
      </c>
      <c r="D56" s="14" t="s">
        <v>441</v>
      </c>
      <c r="E56" s="14" t="s">
        <v>210</v>
      </c>
      <c r="F56" s="14" t="s">
        <v>290</v>
      </c>
    </row>
    <row r="57" spans="1:6">
      <c r="A57" s="7">
        <v>55</v>
      </c>
      <c r="B57" s="7">
        <v>55</v>
      </c>
      <c r="C57" t="str">
        <f>VLOOKUP(B57,_Pitch!$A$2:$B$129,2,FALSE)</f>
        <v>G2</v>
      </c>
      <c r="D57" s="14" t="s">
        <v>438</v>
      </c>
      <c r="E57" s="14" t="s">
        <v>568</v>
      </c>
      <c r="F57" s="14" t="s">
        <v>290</v>
      </c>
    </row>
    <row r="58" spans="1:6">
      <c r="A58" s="7">
        <v>56</v>
      </c>
      <c r="B58" s="7">
        <v>56</v>
      </c>
      <c r="C58" t="str">
        <f>VLOOKUP(B58,_Pitch!$A$2:$B$129,2,FALSE)</f>
        <v>G#2</v>
      </c>
      <c r="D58" s="14" t="s">
        <v>444</v>
      </c>
      <c r="E58" s="14" t="s">
        <v>180</v>
      </c>
      <c r="F58" s="14"/>
    </row>
    <row r="59" spans="1:6">
      <c r="A59" s="7">
        <v>57</v>
      </c>
      <c r="B59" s="7">
        <v>57</v>
      </c>
      <c r="C59" t="str">
        <f>VLOOKUP(B59,_Pitch!$A$2:$B$129,2,FALSE)</f>
        <v>A2</v>
      </c>
      <c r="D59" s="14" t="s">
        <v>412</v>
      </c>
      <c r="E59" s="14" t="s">
        <v>182</v>
      </c>
      <c r="F59" s="14"/>
    </row>
    <row r="60" spans="1:6">
      <c r="A60" s="7">
        <v>58</v>
      </c>
      <c r="B60" s="7">
        <v>58</v>
      </c>
      <c r="C60" t="str">
        <f>VLOOKUP(B60,_Pitch!$A$2:$B$129,2,FALSE)</f>
        <v>A#2</v>
      </c>
      <c r="D60" s="14" t="s">
        <v>445</v>
      </c>
      <c r="E60" s="14" t="s">
        <v>183</v>
      </c>
      <c r="F60" s="14"/>
    </row>
    <row r="61" spans="1:6">
      <c r="A61" s="7">
        <v>59</v>
      </c>
      <c r="B61" s="7">
        <v>59</v>
      </c>
      <c r="C61" t="str">
        <f>VLOOKUP(B61,_Pitch!$A$2:$B$129,2,FALSE)</f>
        <v>B2</v>
      </c>
      <c r="D61" s="14" t="s">
        <v>412</v>
      </c>
      <c r="E61" s="14" t="s">
        <v>182</v>
      </c>
      <c r="F61" s="14" t="s">
        <v>290</v>
      </c>
    </row>
    <row r="62" spans="1:6">
      <c r="A62" s="7">
        <v>60</v>
      </c>
      <c r="B62" s="7">
        <v>60</v>
      </c>
      <c r="C62" t="str">
        <f>VLOOKUP(B62,_Pitch!$A$2:$B$129,2,FALSE)</f>
        <v>C3</v>
      </c>
      <c r="D62" s="14" t="s">
        <v>437</v>
      </c>
      <c r="E62" s="14" t="s">
        <v>162</v>
      </c>
      <c r="F62" s="14"/>
    </row>
    <row r="63" spans="1:6">
      <c r="A63" s="7">
        <v>61</v>
      </c>
      <c r="B63" s="7">
        <v>61</v>
      </c>
      <c r="C63" t="str">
        <f>VLOOKUP(B63,_Pitch!$A$2:$B$129,2,FALSE)</f>
        <v>C#3</v>
      </c>
      <c r="D63" s="14" t="s">
        <v>153</v>
      </c>
      <c r="E63" s="14" t="s">
        <v>153</v>
      </c>
      <c r="F63" s="14" t="s">
        <v>290</v>
      </c>
    </row>
    <row r="64" spans="1:6">
      <c r="A64" s="7">
        <v>62</v>
      </c>
      <c r="B64" s="7">
        <v>62</v>
      </c>
      <c r="C64" t="str">
        <f>VLOOKUP(B64,_Pitch!$A$2:$B$129,2,FALSE)</f>
        <v>D3</v>
      </c>
      <c r="D64" s="14" t="s">
        <v>151</v>
      </c>
      <c r="E64" s="14" t="s">
        <v>151</v>
      </c>
      <c r="F64" s="14"/>
    </row>
    <row r="65" spans="1:6">
      <c r="A65" s="7">
        <v>63</v>
      </c>
      <c r="B65" s="7">
        <v>63</v>
      </c>
      <c r="C65" t="str">
        <f>VLOOKUP(B65,_Pitch!$A$2:$B$129,2,FALSE)</f>
        <v>D#3</v>
      </c>
      <c r="D65" s="14" t="s">
        <v>154</v>
      </c>
      <c r="E65" s="14" t="s">
        <v>154</v>
      </c>
      <c r="F65" s="14"/>
    </row>
    <row r="66" spans="1:6">
      <c r="A66" s="7">
        <v>64</v>
      </c>
      <c r="B66" s="7">
        <v>64</v>
      </c>
      <c r="C66" t="str">
        <f>VLOOKUP(B66,_Pitch!$A$2:$B$129,2,FALSE)</f>
        <v>E3</v>
      </c>
      <c r="D66" s="14" t="s">
        <v>149</v>
      </c>
      <c r="E66" s="14" t="s">
        <v>149</v>
      </c>
      <c r="F66" s="14" t="s">
        <v>290</v>
      </c>
    </row>
    <row r="67" spans="1:6">
      <c r="A67" s="7">
        <v>65</v>
      </c>
      <c r="B67" s="7">
        <v>65</v>
      </c>
      <c r="C67" t="str">
        <f>VLOOKUP(B67,_Pitch!$A$2:$B$129,2,FALSE)</f>
        <v>F3</v>
      </c>
      <c r="D67" s="14" t="s">
        <v>153</v>
      </c>
      <c r="E67" s="14" t="s">
        <v>153</v>
      </c>
      <c r="F67" s="14" t="s">
        <v>290</v>
      </c>
    </row>
    <row r="68" spans="1:6">
      <c r="A68" s="7">
        <v>66</v>
      </c>
      <c r="B68" s="7">
        <v>66</v>
      </c>
      <c r="C68" t="str">
        <f>VLOOKUP(B68,_Pitch!$A$2:$B$129,2,FALSE)</f>
        <v>F#3</v>
      </c>
      <c r="D68" s="14" t="s">
        <v>660</v>
      </c>
      <c r="E68" s="14"/>
      <c r="F68" s="14"/>
    </row>
    <row r="69" spans="1:6">
      <c r="A69" s="7">
        <v>67</v>
      </c>
      <c r="B69" s="7">
        <v>67</v>
      </c>
      <c r="C69" t="str">
        <f>VLOOKUP(B69,_Pitch!$A$2:$B$129,2,FALSE)</f>
        <v>G3</v>
      </c>
      <c r="D69" s="14" t="s">
        <v>662</v>
      </c>
      <c r="E69" s="14"/>
      <c r="F69" s="14"/>
    </row>
    <row r="70" spans="1:6">
      <c r="A70" s="7">
        <v>68</v>
      </c>
      <c r="B70" s="7">
        <v>68</v>
      </c>
      <c r="C70" t="str">
        <f>VLOOKUP(B70,_Pitch!$A$2:$B$129,2,FALSE)</f>
        <v>G#3</v>
      </c>
      <c r="D70" s="14" t="s">
        <v>665</v>
      </c>
      <c r="E70" s="14"/>
      <c r="F70" s="14"/>
    </row>
    <row r="71" spans="1:6">
      <c r="A71" s="7">
        <v>69</v>
      </c>
      <c r="B71" s="7">
        <v>69</v>
      </c>
      <c r="C71" t="str">
        <f>VLOOKUP(B71,_Pitch!$A$2:$B$129,2,FALSE)</f>
        <v>A3</v>
      </c>
      <c r="D71" s="14" t="s">
        <v>661</v>
      </c>
      <c r="E71" s="14"/>
      <c r="F71" s="14"/>
    </row>
    <row r="72" spans="1:6">
      <c r="A72" s="7">
        <v>70</v>
      </c>
      <c r="B72" s="7">
        <v>70</v>
      </c>
      <c r="C72" t="str">
        <f>VLOOKUP(B72,_Pitch!$A$2:$B$129,2,FALSE)</f>
        <v>A#3</v>
      </c>
      <c r="D72" s="14" t="s">
        <v>136</v>
      </c>
      <c r="E72" s="14" t="s">
        <v>561</v>
      </c>
      <c r="F72" s="14" t="s">
        <v>290</v>
      </c>
    </row>
    <row r="73" spans="1:6">
      <c r="A73" s="7">
        <v>71</v>
      </c>
      <c r="B73" s="7">
        <v>71</v>
      </c>
      <c r="C73" t="str">
        <f>VLOOKUP(B73,_Pitch!$A$2:$B$129,2,FALSE)</f>
        <v>B3</v>
      </c>
      <c r="D73" s="14" t="s">
        <v>144</v>
      </c>
      <c r="E73" s="14" t="s">
        <v>144</v>
      </c>
      <c r="F73" s="14"/>
    </row>
    <row r="74" spans="1:6">
      <c r="A74" s="7">
        <v>72</v>
      </c>
      <c r="B74" s="7">
        <v>72</v>
      </c>
      <c r="C74" t="str">
        <f>VLOOKUP(B74,_Pitch!$A$2:$B$129,2,FALSE)</f>
        <v>C4</v>
      </c>
      <c r="D74" s="14" t="s">
        <v>429</v>
      </c>
      <c r="E74" s="14" t="s">
        <v>199</v>
      </c>
      <c r="F74" s="14" t="s">
        <v>290</v>
      </c>
    </row>
    <row r="75" spans="1:6">
      <c r="A75" s="7">
        <v>73</v>
      </c>
      <c r="B75" s="7">
        <v>73</v>
      </c>
      <c r="C75" t="str">
        <f>VLOOKUP(B75,_Pitch!$A$2:$B$129,2,FALSE)</f>
        <v>C#4</v>
      </c>
      <c r="D75" s="14" t="s">
        <v>430</v>
      </c>
      <c r="E75" s="14" t="s">
        <v>198</v>
      </c>
      <c r="F75" s="14" t="s">
        <v>290</v>
      </c>
    </row>
    <row r="76" spans="1:6">
      <c r="A76" s="7">
        <v>74</v>
      </c>
      <c r="B76" s="7">
        <v>74</v>
      </c>
      <c r="C76" t="str">
        <f>VLOOKUP(B76,_Pitch!$A$2:$B$129,2,FALSE)</f>
        <v>D4</v>
      </c>
      <c r="D76" s="14" t="s">
        <v>429</v>
      </c>
      <c r="E76" s="14" t="s">
        <v>199</v>
      </c>
      <c r="F76" s="14" t="s">
        <v>567</v>
      </c>
    </row>
    <row r="77" spans="1:6">
      <c r="A77" s="7">
        <v>75</v>
      </c>
      <c r="B77" s="7">
        <v>75</v>
      </c>
      <c r="C77" t="str">
        <f>VLOOKUP(B77,_Pitch!$A$2:$B$129,2,FALSE)</f>
        <v>D#4</v>
      </c>
      <c r="D77" s="14" t="s">
        <v>430</v>
      </c>
      <c r="E77" s="14" t="s">
        <v>198</v>
      </c>
      <c r="F77" s="14"/>
    </row>
    <row r="78" spans="1:6">
      <c r="A78" s="7">
        <v>76</v>
      </c>
      <c r="B78" s="7">
        <v>76</v>
      </c>
      <c r="C78" t="str">
        <f>VLOOKUP(B78,_Pitch!$A$2:$B$129,2,FALSE)</f>
        <v>E4</v>
      </c>
      <c r="D78" s="14" t="s">
        <v>446</v>
      </c>
      <c r="E78" s="14" t="s">
        <v>667</v>
      </c>
      <c r="F78" s="14"/>
    </row>
    <row r="79" spans="1:6">
      <c r="A79" s="7">
        <v>77</v>
      </c>
      <c r="B79" s="7">
        <v>77</v>
      </c>
      <c r="C79" t="str">
        <f>VLOOKUP(B79,_Pitch!$A$2:$B$129,2,FALSE)</f>
        <v>F4</v>
      </c>
      <c r="D79" s="14" t="s">
        <v>1003</v>
      </c>
      <c r="E79" s="14" t="s">
        <v>1003</v>
      </c>
      <c r="F79" s="14" t="s">
        <v>290</v>
      </c>
    </row>
    <row r="80" spans="1:6">
      <c r="A80" s="7">
        <v>78</v>
      </c>
      <c r="B80" s="7">
        <v>78</v>
      </c>
      <c r="C80" t="str">
        <f>VLOOKUP(B80,_Pitch!$A$2:$B$129,2,FALSE)</f>
        <v>F#4</v>
      </c>
      <c r="D80" s="14" t="s">
        <v>191</v>
      </c>
      <c r="E80" s="14" t="s">
        <v>191</v>
      </c>
      <c r="F80" s="14" t="s">
        <v>290</v>
      </c>
    </row>
    <row r="81" spans="1:6">
      <c r="A81" s="7">
        <v>79</v>
      </c>
      <c r="B81" s="7">
        <v>79</v>
      </c>
      <c r="C81" t="str">
        <f>VLOOKUP(B81,_Pitch!$A$2:$B$129,2,FALSE)</f>
        <v>G4</v>
      </c>
      <c r="D81" s="14" t="s">
        <v>1003</v>
      </c>
      <c r="E81" s="14" t="s">
        <v>1003</v>
      </c>
      <c r="F81" s="14" t="s">
        <v>567</v>
      </c>
    </row>
    <row r="82" spans="1:6">
      <c r="A82" s="7">
        <v>80</v>
      </c>
      <c r="B82" s="7">
        <v>80</v>
      </c>
      <c r="C82" t="str">
        <f>VLOOKUP(B82,_Pitch!$A$2:$B$129,2,FALSE)</f>
        <v>G#4</v>
      </c>
      <c r="D82" s="14" t="s">
        <v>191</v>
      </c>
      <c r="E82" s="14" t="s">
        <v>191</v>
      </c>
      <c r="F82" s="14"/>
    </row>
    <row r="83" spans="1:6">
      <c r="A83" s="7">
        <v>81</v>
      </c>
      <c r="B83" s="7">
        <v>81</v>
      </c>
      <c r="C83" t="str">
        <f>VLOOKUP(B83,_Pitch!$A$2:$B$129,2,FALSE)</f>
        <v>A4</v>
      </c>
      <c r="D83" s="14" t="s">
        <v>998</v>
      </c>
      <c r="E83" s="14" t="s">
        <v>998</v>
      </c>
      <c r="F83" s="14" t="s">
        <v>567</v>
      </c>
    </row>
    <row r="84" spans="1:6">
      <c r="A84" s="7">
        <v>82</v>
      </c>
      <c r="B84" s="7">
        <v>82</v>
      </c>
      <c r="C84" t="str">
        <f>VLOOKUP(B84,_Pitch!$A$2:$B$129,2,FALSE)</f>
        <v>A#4</v>
      </c>
      <c r="D84" s="14" t="s">
        <v>189</v>
      </c>
      <c r="E84" s="14" t="s">
        <v>189</v>
      </c>
      <c r="F84" s="14"/>
    </row>
    <row r="85" spans="1:6">
      <c r="A85" s="7">
        <v>83</v>
      </c>
      <c r="B85" s="7">
        <v>83</v>
      </c>
      <c r="C85" t="str">
        <f>VLOOKUP(B85,_Pitch!$A$2:$B$129,2,FALSE)</f>
        <v>B4</v>
      </c>
      <c r="D85" s="14" t="s">
        <v>441</v>
      </c>
      <c r="E85" s="14" t="s">
        <v>210</v>
      </c>
      <c r="F85" s="14" t="s">
        <v>290</v>
      </c>
    </row>
    <row r="86" spans="1:6">
      <c r="A86" s="7">
        <v>84</v>
      </c>
      <c r="B86" s="7">
        <v>84</v>
      </c>
      <c r="C86" t="str">
        <f>VLOOKUP(B86,_Pitch!$A$2:$B$129,2,FALSE)</f>
        <v>C5</v>
      </c>
      <c r="D86" s="14" t="s">
        <v>421</v>
      </c>
      <c r="E86" s="14" t="s">
        <v>175</v>
      </c>
      <c r="F86" s="14" t="s">
        <v>290</v>
      </c>
    </row>
    <row r="87" spans="1:6">
      <c r="A87" s="7">
        <v>85</v>
      </c>
      <c r="B87" s="7">
        <v>85</v>
      </c>
      <c r="C87" t="str">
        <f>VLOOKUP(B87,_Pitch!$A$2:$B$129,2,FALSE)</f>
        <v>C#5</v>
      </c>
      <c r="D87" s="14" t="s">
        <v>443</v>
      </c>
      <c r="E87" s="14" t="s">
        <v>181</v>
      </c>
      <c r="F87" s="14" t="s">
        <v>290</v>
      </c>
    </row>
    <row r="88" spans="1:6">
      <c r="A88" s="7">
        <v>86</v>
      </c>
      <c r="B88" s="7">
        <v>86</v>
      </c>
      <c r="C88" t="str">
        <f>VLOOKUP(B88,_Pitch!$A$2:$B$129,2,FALSE)</f>
        <v>D5</v>
      </c>
      <c r="D88" s="14" t="s">
        <v>412</v>
      </c>
      <c r="E88" s="14" t="s">
        <v>182</v>
      </c>
      <c r="F88" s="14" t="s">
        <v>290</v>
      </c>
    </row>
    <row r="89" spans="1:6">
      <c r="A89" s="7">
        <v>87</v>
      </c>
      <c r="B89" s="7">
        <v>87</v>
      </c>
      <c r="C89" t="str">
        <f>VLOOKUP(B89,_Pitch!$A$2:$B$129,2,FALSE)</f>
        <v>D#5</v>
      </c>
      <c r="D89" s="14" t="s">
        <v>442</v>
      </c>
      <c r="E89" s="14" t="s">
        <v>179</v>
      </c>
      <c r="F89" s="14" t="s">
        <v>290</v>
      </c>
    </row>
    <row r="90" spans="1:6">
      <c r="A90" s="7">
        <v>88</v>
      </c>
      <c r="B90" s="7">
        <v>88</v>
      </c>
      <c r="C90" t="str">
        <f>VLOOKUP(B90,_Pitch!$A$2:$B$129,2,FALSE)</f>
        <v>E5</v>
      </c>
      <c r="D90" s="14" t="s">
        <v>444</v>
      </c>
      <c r="E90" s="14" t="s">
        <v>180</v>
      </c>
      <c r="F90" s="14" t="s">
        <v>290</v>
      </c>
    </row>
    <row r="91" spans="1:6">
      <c r="A91" s="7">
        <v>89</v>
      </c>
      <c r="B91" s="7">
        <v>89</v>
      </c>
      <c r="C91" t="str">
        <f>VLOOKUP(B91,_Pitch!$A$2:$B$129,2,FALSE)</f>
        <v>F5</v>
      </c>
      <c r="D91" s="14" t="s">
        <v>421</v>
      </c>
      <c r="E91" s="14" t="s">
        <v>175</v>
      </c>
      <c r="F91" s="14" t="s">
        <v>290</v>
      </c>
    </row>
    <row r="92" spans="1:6">
      <c r="A92" s="7">
        <v>90</v>
      </c>
      <c r="B92" s="7">
        <v>90</v>
      </c>
      <c r="C92" t="str">
        <f>VLOOKUP(B92,_Pitch!$A$2:$B$129,2,FALSE)</f>
        <v>F#5</v>
      </c>
      <c r="D92" s="14" t="s">
        <v>443</v>
      </c>
      <c r="E92" s="14" t="s">
        <v>181</v>
      </c>
      <c r="F92" s="14" t="s">
        <v>290</v>
      </c>
    </row>
    <row r="93" spans="1:6">
      <c r="A93" s="7">
        <v>91</v>
      </c>
      <c r="B93" s="7">
        <v>91</v>
      </c>
      <c r="C93" t="str">
        <f>VLOOKUP(B93,_Pitch!$A$2:$B$129,2,FALSE)</f>
        <v>G5</v>
      </c>
      <c r="D93" s="14" t="s">
        <v>412</v>
      </c>
      <c r="E93" s="14" t="s">
        <v>182</v>
      </c>
      <c r="F93" s="14" t="s">
        <v>290</v>
      </c>
    </row>
    <row r="94" spans="1:6">
      <c r="A94" s="7">
        <v>92</v>
      </c>
      <c r="B94" s="7">
        <v>92</v>
      </c>
      <c r="C94" t="str">
        <f>VLOOKUP(B94,_Pitch!$A$2:$B$129,2,FALSE)</f>
        <v>G#5</v>
      </c>
      <c r="D94" s="14" t="s">
        <v>442</v>
      </c>
      <c r="E94" s="14" t="s">
        <v>179</v>
      </c>
      <c r="F94" s="14" t="s">
        <v>290</v>
      </c>
    </row>
    <row r="95" spans="1:6">
      <c r="A95" s="7">
        <v>93</v>
      </c>
      <c r="B95" s="7">
        <v>93</v>
      </c>
      <c r="C95" t="str">
        <f>VLOOKUP(B95,_Pitch!$A$2:$B$129,2,FALSE)</f>
        <v>A5</v>
      </c>
      <c r="D95" s="14" t="s">
        <v>444</v>
      </c>
      <c r="E95" s="14" t="s">
        <v>180</v>
      </c>
      <c r="F95" s="14" t="s">
        <v>290</v>
      </c>
    </row>
    <row r="96" spans="1:6">
      <c r="A96" s="7">
        <v>94</v>
      </c>
      <c r="B96" s="7">
        <v>94</v>
      </c>
      <c r="C96" t="str">
        <f>VLOOKUP(B96,_Pitch!$A$2:$B$129,2,FALSE)</f>
        <v>A#5</v>
      </c>
      <c r="D96" s="14" t="s">
        <v>441</v>
      </c>
      <c r="E96" s="14" t="s">
        <v>210</v>
      </c>
      <c r="F96" s="14" t="s">
        <v>290</v>
      </c>
    </row>
    <row r="97" spans="1:6">
      <c r="A97" s="7">
        <v>95</v>
      </c>
      <c r="B97" s="7">
        <v>95</v>
      </c>
      <c r="C97" t="str">
        <f>VLOOKUP(B97,_Pitch!$A$2:$B$129,2,FALSE)</f>
        <v>B5</v>
      </c>
      <c r="D97" s="14" t="s">
        <v>441</v>
      </c>
      <c r="E97" s="14" t="s">
        <v>210</v>
      </c>
      <c r="F97" s="14" t="s">
        <v>290</v>
      </c>
    </row>
    <row r="98" spans="1:6">
      <c r="A98" s="7">
        <v>96</v>
      </c>
      <c r="B98" s="7">
        <v>96</v>
      </c>
      <c r="C98" t="str">
        <f>VLOOKUP(B98,_Pitch!$A$2:$B$129,2,FALSE)</f>
        <v>C6</v>
      </c>
      <c r="D98" s="14" t="s">
        <v>421</v>
      </c>
      <c r="E98" s="14" t="s">
        <v>175</v>
      </c>
      <c r="F98" s="14" t="s">
        <v>290</v>
      </c>
    </row>
    <row r="99" spans="1:6">
      <c r="A99" s="7">
        <v>97</v>
      </c>
      <c r="B99" s="7">
        <v>97</v>
      </c>
      <c r="C99" t="str">
        <f>VLOOKUP(B99,_Pitch!$A$2:$B$129,2,FALSE)</f>
        <v>C#6</v>
      </c>
      <c r="D99" s="14" t="s">
        <v>443</v>
      </c>
      <c r="E99" s="14" t="s">
        <v>181</v>
      </c>
      <c r="F99" s="14" t="s">
        <v>290</v>
      </c>
    </row>
    <row r="100" spans="1:6">
      <c r="A100" s="7">
        <v>98</v>
      </c>
      <c r="B100" s="7">
        <v>98</v>
      </c>
      <c r="C100" t="str">
        <f>VLOOKUP(B100,_Pitch!$A$2:$B$129,2,FALSE)</f>
        <v>D6</v>
      </c>
      <c r="D100" s="14" t="s">
        <v>412</v>
      </c>
      <c r="E100" s="14" t="s">
        <v>182</v>
      </c>
      <c r="F100" s="14" t="s">
        <v>290</v>
      </c>
    </row>
    <row r="101" spans="1:6">
      <c r="A101" s="7">
        <v>99</v>
      </c>
      <c r="B101" s="7">
        <v>99</v>
      </c>
      <c r="C101" t="str">
        <f>VLOOKUP(B101,_Pitch!$A$2:$B$129,2,FALSE)</f>
        <v>D#6</v>
      </c>
      <c r="D101" s="14" t="s">
        <v>442</v>
      </c>
      <c r="E101" s="14" t="s">
        <v>179</v>
      </c>
      <c r="F101" s="14" t="s">
        <v>290</v>
      </c>
    </row>
    <row r="102" spans="1:6">
      <c r="A102" s="7">
        <v>100</v>
      </c>
      <c r="B102" s="7">
        <v>100</v>
      </c>
      <c r="C102" t="str">
        <f>VLOOKUP(B102,_Pitch!$A$2:$B$129,2,FALSE)</f>
        <v>E6</v>
      </c>
      <c r="D102" s="14" t="s">
        <v>444</v>
      </c>
      <c r="E102" s="14" t="s">
        <v>180</v>
      </c>
      <c r="F102" s="14" t="s">
        <v>290</v>
      </c>
    </row>
    <row r="103" spans="1:6">
      <c r="A103" s="7">
        <v>101</v>
      </c>
      <c r="B103" s="7">
        <v>101</v>
      </c>
      <c r="C103" t="str">
        <f>VLOOKUP(B103,_Pitch!$A$2:$B$129,2,FALSE)</f>
        <v>F6</v>
      </c>
      <c r="D103" s="14" t="s">
        <v>421</v>
      </c>
      <c r="E103" s="14" t="s">
        <v>175</v>
      </c>
      <c r="F103" s="14" t="s">
        <v>290</v>
      </c>
    </row>
    <row r="104" spans="1:6">
      <c r="A104" s="7">
        <v>102</v>
      </c>
      <c r="B104" s="7">
        <v>102</v>
      </c>
      <c r="C104" t="str">
        <f>VLOOKUP(B104,_Pitch!$A$2:$B$129,2,FALSE)</f>
        <v>F#6</v>
      </c>
      <c r="D104" s="14" t="s">
        <v>443</v>
      </c>
      <c r="E104" s="14" t="s">
        <v>181</v>
      </c>
      <c r="F104" s="14" t="s">
        <v>290</v>
      </c>
    </row>
    <row r="105" spans="1:6">
      <c r="A105" s="7">
        <v>103</v>
      </c>
      <c r="B105" s="7">
        <v>103</v>
      </c>
      <c r="C105" t="str">
        <f>VLOOKUP(B105,_Pitch!$A$2:$B$129,2,FALSE)</f>
        <v>G6</v>
      </c>
      <c r="D105" s="14" t="s">
        <v>412</v>
      </c>
      <c r="E105" s="14" t="s">
        <v>182</v>
      </c>
      <c r="F105" s="14" t="s">
        <v>290</v>
      </c>
    </row>
    <row r="106" spans="1:6">
      <c r="A106" s="7">
        <v>104</v>
      </c>
      <c r="B106" s="7">
        <v>104</v>
      </c>
      <c r="C106" t="str">
        <f>VLOOKUP(B106,_Pitch!$A$2:$B$129,2,FALSE)</f>
        <v>G#6</v>
      </c>
      <c r="D106" s="14" t="s">
        <v>442</v>
      </c>
      <c r="E106" s="14" t="s">
        <v>179</v>
      </c>
      <c r="F106" s="14" t="s">
        <v>290</v>
      </c>
    </row>
    <row r="107" spans="1:6">
      <c r="A107" s="7">
        <v>105</v>
      </c>
      <c r="B107" s="7">
        <v>105</v>
      </c>
      <c r="C107" t="str">
        <f>VLOOKUP(B107,_Pitch!$A$2:$B$129,2,FALSE)</f>
        <v>A6</v>
      </c>
      <c r="D107" s="14" t="s">
        <v>444</v>
      </c>
      <c r="E107" s="14" t="s">
        <v>180</v>
      </c>
      <c r="F107" s="14" t="s">
        <v>290</v>
      </c>
    </row>
    <row r="108" spans="1:6">
      <c r="A108" s="7">
        <v>106</v>
      </c>
      <c r="B108" s="7">
        <v>106</v>
      </c>
      <c r="C108" t="str">
        <f>VLOOKUP(B108,_Pitch!$A$2:$B$129,2,FALSE)</f>
        <v>A#6</v>
      </c>
      <c r="D108" s="14" t="s">
        <v>445</v>
      </c>
      <c r="E108" s="14" t="s">
        <v>183</v>
      </c>
      <c r="F108" s="14" t="s">
        <v>290</v>
      </c>
    </row>
    <row r="109" spans="1:6">
      <c r="A109" s="7">
        <v>107</v>
      </c>
      <c r="B109" s="7">
        <v>107</v>
      </c>
      <c r="C109" t="str">
        <f>VLOOKUP(B109,_Pitch!$A$2:$B$129,2,FALSE)</f>
        <v>B6</v>
      </c>
      <c r="D109" s="14" t="s">
        <v>445</v>
      </c>
      <c r="E109" s="14" t="s">
        <v>183</v>
      </c>
      <c r="F109" s="14" t="s">
        <v>290</v>
      </c>
    </row>
    <row r="110" spans="1:6">
      <c r="A110" s="7">
        <v>108</v>
      </c>
      <c r="B110" s="7">
        <v>108</v>
      </c>
      <c r="C110" t="str">
        <f>VLOOKUP(B110,_Pitch!$A$2:$B$129,2,FALSE)</f>
        <v>C7</v>
      </c>
      <c r="D110" s="14" t="s">
        <v>421</v>
      </c>
      <c r="E110" s="14" t="s">
        <v>175</v>
      </c>
      <c r="F110" s="14" t="s">
        <v>290</v>
      </c>
    </row>
    <row r="111" spans="1:6">
      <c r="A111" s="7">
        <v>109</v>
      </c>
      <c r="B111" s="7">
        <v>109</v>
      </c>
      <c r="C111" t="str">
        <f>VLOOKUP(B111,_Pitch!$A$2:$B$129,2,FALSE)</f>
        <v>C#7</v>
      </c>
      <c r="D111" s="14" t="s">
        <v>443</v>
      </c>
      <c r="E111" s="14" t="s">
        <v>181</v>
      </c>
      <c r="F111" s="14" t="s">
        <v>290</v>
      </c>
    </row>
    <row r="112" spans="1:6">
      <c r="A112" s="7">
        <v>110</v>
      </c>
      <c r="B112" s="7">
        <v>110</v>
      </c>
      <c r="C112" t="str">
        <f>VLOOKUP(B112,_Pitch!$A$2:$B$129,2,FALSE)</f>
        <v>D7</v>
      </c>
      <c r="D112" s="14" t="s">
        <v>412</v>
      </c>
      <c r="E112" s="14" t="s">
        <v>182</v>
      </c>
      <c r="F112" s="14" t="s">
        <v>290</v>
      </c>
    </row>
    <row r="113" spans="1:6">
      <c r="A113" s="7">
        <v>111</v>
      </c>
      <c r="B113" s="7">
        <v>111</v>
      </c>
      <c r="C113" t="str">
        <f>VLOOKUP(B113,_Pitch!$A$2:$B$129,2,FALSE)</f>
        <v>D#7</v>
      </c>
      <c r="D113" s="14" t="s">
        <v>442</v>
      </c>
      <c r="E113" s="14" t="s">
        <v>179</v>
      </c>
      <c r="F113" s="14" t="s">
        <v>290</v>
      </c>
    </row>
    <row r="114" spans="1:6">
      <c r="A114" s="7">
        <v>112</v>
      </c>
      <c r="B114" s="7">
        <v>112</v>
      </c>
      <c r="C114" t="str">
        <f>VLOOKUP(B114,_Pitch!$A$2:$B$129,2,FALSE)</f>
        <v>E7</v>
      </c>
      <c r="D114" s="14" t="s">
        <v>444</v>
      </c>
      <c r="E114" s="14" t="s">
        <v>180</v>
      </c>
      <c r="F114" s="14" t="s">
        <v>290</v>
      </c>
    </row>
    <row r="115" spans="1:6">
      <c r="A115" s="7">
        <v>113</v>
      </c>
      <c r="B115" s="7">
        <v>113</v>
      </c>
      <c r="C115" t="str">
        <f>VLOOKUP(B115,_Pitch!$A$2:$B$129,2,FALSE)</f>
        <v>F7</v>
      </c>
      <c r="D115" s="14" t="s">
        <v>421</v>
      </c>
      <c r="E115" s="14" t="s">
        <v>175</v>
      </c>
      <c r="F115" s="14" t="s">
        <v>290</v>
      </c>
    </row>
    <row r="116" spans="1:6">
      <c r="A116" s="7">
        <v>114</v>
      </c>
      <c r="B116" s="7">
        <v>114</v>
      </c>
      <c r="C116" t="str">
        <f>VLOOKUP(B116,_Pitch!$A$2:$B$129,2,FALSE)</f>
        <v>F#7</v>
      </c>
      <c r="D116" s="14" t="s">
        <v>443</v>
      </c>
      <c r="E116" s="14" t="s">
        <v>181</v>
      </c>
      <c r="F116" s="14" t="s">
        <v>290</v>
      </c>
    </row>
    <row r="117" spans="1:6">
      <c r="A117" s="7">
        <v>115</v>
      </c>
      <c r="B117" s="7">
        <v>115</v>
      </c>
      <c r="C117" t="str">
        <f>VLOOKUP(B117,_Pitch!$A$2:$B$129,2,FALSE)</f>
        <v>G7</v>
      </c>
      <c r="D117" s="14" t="s">
        <v>412</v>
      </c>
      <c r="E117" s="14" t="s">
        <v>182</v>
      </c>
      <c r="F117" s="14" t="s">
        <v>290</v>
      </c>
    </row>
    <row r="118" spans="1:6">
      <c r="A118" s="7">
        <v>116</v>
      </c>
      <c r="B118" s="7">
        <v>116</v>
      </c>
      <c r="C118" t="str">
        <f>VLOOKUP(B118,_Pitch!$A$2:$B$129,2,FALSE)</f>
        <v>G#7</v>
      </c>
      <c r="D118" s="14" t="s">
        <v>442</v>
      </c>
      <c r="E118" s="14" t="s">
        <v>179</v>
      </c>
      <c r="F118" s="14" t="s">
        <v>290</v>
      </c>
    </row>
    <row r="119" spans="1:6">
      <c r="A119" s="7">
        <v>117</v>
      </c>
      <c r="B119" s="7">
        <v>117</v>
      </c>
      <c r="C119" t="str">
        <f>VLOOKUP(B119,_Pitch!$A$2:$B$129,2,FALSE)</f>
        <v>A7</v>
      </c>
      <c r="D119" s="14" t="s">
        <v>444</v>
      </c>
      <c r="E119" s="14" t="s">
        <v>180</v>
      </c>
      <c r="F119" s="14" t="s">
        <v>290</v>
      </c>
    </row>
    <row r="120" spans="1:6">
      <c r="A120" s="7">
        <v>118</v>
      </c>
      <c r="B120" s="7">
        <v>118</v>
      </c>
      <c r="C120" t="str">
        <f>VLOOKUP(B120,_Pitch!$A$2:$B$129,2,FALSE)</f>
        <v>A#7</v>
      </c>
      <c r="D120" s="14" t="s">
        <v>445</v>
      </c>
      <c r="E120" s="14" t="s">
        <v>183</v>
      </c>
      <c r="F120" s="14" t="s">
        <v>290</v>
      </c>
    </row>
    <row r="121" spans="1:6">
      <c r="A121" s="7">
        <v>119</v>
      </c>
      <c r="B121" s="7">
        <v>119</v>
      </c>
      <c r="C121" t="str">
        <f>VLOOKUP(B121,_Pitch!$A$2:$B$129,2,FALSE)</f>
        <v>B7</v>
      </c>
      <c r="D121" s="14" t="s">
        <v>447</v>
      </c>
      <c r="E121" s="14" t="s">
        <v>155</v>
      </c>
      <c r="F121" s="14" t="s">
        <v>290</v>
      </c>
    </row>
    <row r="122" spans="1:6">
      <c r="A122" s="7">
        <v>120</v>
      </c>
      <c r="B122" s="7">
        <v>120</v>
      </c>
      <c r="C122" t="str">
        <f>VLOOKUP(B122,_Pitch!$A$2:$B$129,2,FALSE)</f>
        <v>C8</v>
      </c>
      <c r="D122" s="14" t="s">
        <v>448</v>
      </c>
      <c r="E122" s="14" t="s">
        <v>171</v>
      </c>
      <c r="F122" s="14"/>
    </row>
    <row r="123" spans="1:6">
      <c r="A123" s="7">
        <v>121</v>
      </c>
      <c r="B123" s="7">
        <v>121</v>
      </c>
      <c r="C123" t="str">
        <f>VLOOKUP(B123,_Pitch!$A$2:$B$129,2,FALSE)</f>
        <v>C#8</v>
      </c>
      <c r="D123" s="14" t="s">
        <v>449</v>
      </c>
      <c r="E123" s="14" t="s">
        <v>172</v>
      </c>
      <c r="F123" s="14"/>
    </row>
    <row r="124" spans="1:6">
      <c r="A124" s="7">
        <v>122</v>
      </c>
      <c r="B124" s="7">
        <v>122</v>
      </c>
      <c r="C124" t="str">
        <f>VLOOKUP(B124,_Pitch!$A$2:$B$129,2,FALSE)</f>
        <v>D8</v>
      </c>
      <c r="D124" s="14" t="s">
        <v>149</v>
      </c>
      <c r="E124" s="14" t="s">
        <v>149</v>
      </c>
      <c r="F124" s="14" t="s">
        <v>290</v>
      </c>
    </row>
    <row r="125" spans="1:6">
      <c r="A125" s="7">
        <v>123</v>
      </c>
      <c r="B125" s="7">
        <v>123</v>
      </c>
      <c r="C125" t="str">
        <f>VLOOKUP(B125,_Pitch!$A$2:$B$129,2,FALSE)</f>
        <v>D#8</v>
      </c>
      <c r="D125" s="14" t="s">
        <v>434</v>
      </c>
      <c r="E125" s="14" t="s">
        <v>159</v>
      </c>
      <c r="F125" s="14" t="s">
        <v>290</v>
      </c>
    </row>
    <row r="126" spans="1:6">
      <c r="A126" s="7">
        <v>124</v>
      </c>
      <c r="B126" s="7">
        <v>124</v>
      </c>
      <c r="C126" t="str">
        <f>VLOOKUP(B126,_Pitch!$A$2:$B$129,2,FALSE)</f>
        <v>E8</v>
      </c>
      <c r="D126" s="14" t="s">
        <v>436</v>
      </c>
      <c r="E126" s="14" t="s">
        <v>161</v>
      </c>
      <c r="F126" s="14" t="s">
        <v>290</v>
      </c>
    </row>
    <row r="127" spans="1:6">
      <c r="A127" s="7">
        <v>125</v>
      </c>
      <c r="B127" s="7">
        <v>125</v>
      </c>
      <c r="C127" t="str">
        <f>VLOOKUP(B127,_Pitch!$A$2:$B$129,2,FALSE)</f>
        <v>F8</v>
      </c>
      <c r="D127" s="14" t="s">
        <v>660</v>
      </c>
      <c r="E127" s="14"/>
      <c r="F127" s="14"/>
    </row>
    <row r="128" spans="1:6">
      <c r="A128" s="7">
        <v>126</v>
      </c>
      <c r="B128" s="7">
        <v>126</v>
      </c>
      <c r="C128" t="str">
        <f>VLOOKUP(B128,_Pitch!$A$2:$B$129,2,FALSE)</f>
        <v>F#8</v>
      </c>
      <c r="D128" s="14" t="s">
        <v>661</v>
      </c>
      <c r="E128" s="14"/>
      <c r="F128" s="14"/>
    </row>
    <row r="129" spans="1:6">
      <c r="A129" s="7">
        <v>127</v>
      </c>
      <c r="B129" s="7">
        <v>127</v>
      </c>
      <c r="C129" t="str">
        <f>VLOOKUP(B129,_Pitch!$A$2:$B$129,2,FALSE)</f>
        <v>G8</v>
      </c>
      <c r="D129" s="14" t="s">
        <v>662</v>
      </c>
      <c r="E129" s="14"/>
      <c r="F129" s="14"/>
    </row>
  </sheetData>
  <autoFilter ref="A1:G129" xr:uid="{BC1E4100-DAB7-4DB2-A28C-A24B1113BC9F}"/>
  <phoneticPr fontId="1"/>
  <dataValidations count="1">
    <dataValidation type="list" allowBlank="1" showInputMessage="1" showErrorMessage="1" sqref="F2:F129" xr:uid="{CD3245A8-BD57-4C3B-8888-FF3FF6FB83AC}">
      <formula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DCCCBBC7-5FAC-420E-A4D0-7B4DABBF210C}">
          <x14:formula1>
            <xm:f>_Articulation!$B$2:B$158</xm:f>
          </x14:formula1>
          <xm:sqref>E2:E129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B3A76-6405-42FA-86D0-E033350A130E}">
  <sheetPr codeName="Sheet11"/>
  <dimension ref="A1:G129"/>
  <sheetViews>
    <sheetView workbookViewId="0">
      <pane ySplit="1" topLeftCell="A2" activePane="bottomLeft" state="frozen"/>
      <selection activeCell="D14" sqref="D14"/>
      <selection pane="bottomLeft" activeCell="A2" sqref="A2"/>
    </sheetView>
  </sheetViews>
  <sheetFormatPr defaultRowHeight="13.5"/>
  <cols>
    <col min="1" max="1" width="4.5" style="7" bestFit="1" customWidth="1"/>
    <col min="2" max="2" width="4.5" bestFit="1" customWidth="1"/>
    <col min="3" max="3" width="5.5" bestFit="1" customWidth="1"/>
    <col min="4" max="4" width="45.625" customWidth="1"/>
    <col min="5" max="5" width="28.25" customWidth="1"/>
    <col min="6" max="6" width="10.25" customWidth="1"/>
  </cols>
  <sheetData>
    <row r="1" spans="1:7" s="6" customFormat="1" ht="141.75" customHeight="1">
      <c r="A1" s="15" t="s">
        <v>130</v>
      </c>
      <c r="B1" s="15" t="s">
        <v>1105</v>
      </c>
      <c r="C1" s="15" t="s">
        <v>1106</v>
      </c>
      <c r="D1" s="16" t="s">
        <v>131</v>
      </c>
      <c r="E1" s="23" t="s">
        <v>132</v>
      </c>
      <c r="F1" s="17" t="s">
        <v>664</v>
      </c>
      <c r="G1" s="15" t="s">
        <v>696</v>
      </c>
    </row>
    <row r="2" spans="1:7">
      <c r="A2" s="7">
        <v>0</v>
      </c>
      <c r="B2" s="7">
        <v>0</v>
      </c>
      <c r="C2" t="str">
        <f>VLOOKUP(B2,_Pitch!$A$2:$B$129,2,FALSE)</f>
        <v>C-2</v>
      </c>
      <c r="D2" s="14"/>
      <c r="E2" s="14"/>
      <c r="F2" s="14"/>
    </row>
    <row r="3" spans="1:7">
      <c r="A3" s="7">
        <v>1</v>
      </c>
      <c r="B3" s="7">
        <v>1</v>
      </c>
      <c r="C3" t="str">
        <f>VLOOKUP(B3,_Pitch!$A$2:$B$129,2,FALSE)</f>
        <v>C#-2</v>
      </c>
      <c r="D3" s="14" t="s">
        <v>397</v>
      </c>
      <c r="E3" s="14"/>
      <c r="F3" s="14"/>
    </row>
    <row r="4" spans="1:7">
      <c r="A4" s="7">
        <v>2</v>
      </c>
      <c r="B4" s="7">
        <v>2</v>
      </c>
      <c r="C4" t="str">
        <f>VLOOKUP(B4,_Pitch!$A$2:$B$129,2,FALSE)</f>
        <v>D-2</v>
      </c>
      <c r="D4" s="14" t="s">
        <v>398</v>
      </c>
      <c r="E4" s="14"/>
      <c r="F4" s="14"/>
    </row>
    <row r="5" spans="1:7">
      <c r="A5" s="7">
        <v>3</v>
      </c>
      <c r="B5" s="7">
        <v>3</v>
      </c>
      <c r="C5" t="str">
        <f>VLOOKUP(B5,_Pitch!$A$2:$B$129,2,FALSE)</f>
        <v>D#-2</v>
      </c>
      <c r="D5" s="14" t="s">
        <v>399</v>
      </c>
      <c r="E5" s="14"/>
      <c r="F5" s="14"/>
    </row>
    <row r="6" spans="1:7">
      <c r="A6" s="7">
        <v>4</v>
      </c>
      <c r="B6" s="7">
        <v>4</v>
      </c>
      <c r="C6" t="str">
        <f>VLOOKUP(B6,_Pitch!$A$2:$B$129,2,FALSE)</f>
        <v>E-2</v>
      </c>
      <c r="D6" s="14"/>
      <c r="E6" s="14"/>
      <c r="F6" s="14"/>
    </row>
    <row r="7" spans="1:7">
      <c r="A7" s="7">
        <v>5</v>
      </c>
      <c r="B7" s="7">
        <v>5</v>
      </c>
      <c r="C7" t="str">
        <f>VLOOKUP(B7,_Pitch!$A$2:$B$129,2,FALSE)</f>
        <v>F-2</v>
      </c>
      <c r="D7" s="14"/>
      <c r="E7" s="14"/>
      <c r="F7" s="14"/>
    </row>
    <row r="8" spans="1:7">
      <c r="A8" s="7">
        <v>6</v>
      </c>
      <c r="B8" s="7">
        <v>6</v>
      </c>
      <c r="C8" t="str">
        <f>VLOOKUP(B8,_Pitch!$A$2:$B$129,2,FALSE)</f>
        <v>F#-2</v>
      </c>
      <c r="D8" s="14" t="s">
        <v>136</v>
      </c>
      <c r="E8" s="14" t="s">
        <v>561</v>
      </c>
      <c r="F8" s="14" t="s">
        <v>290</v>
      </c>
    </row>
    <row r="9" spans="1:7">
      <c r="A9" s="7">
        <v>7</v>
      </c>
      <c r="B9" s="7">
        <v>7</v>
      </c>
      <c r="C9" t="str">
        <f>VLOOKUP(B9,_Pitch!$A$2:$B$129,2,FALSE)</f>
        <v>G-2</v>
      </c>
      <c r="D9" s="14" t="s">
        <v>431</v>
      </c>
      <c r="E9" s="14"/>
      <c r="F9" s="14"/>
    </row>
    <row r="10" spans="1:7">
      <c r="A10" s="7">
        <v>8</v>
      </c>
      <c r="B10" s="7">
        <v>8</v>
      </c>
      <c r="C10" t="str">
        <f>VLOOKUP(B10,_Pitch!$A$2:$B$129,2,FALSE)</f>
        <v>G#-2</v>
      </c>
      <c r="D10" s="14" t="s">
        <v>432</v>
      </c>
      <c r="E10" s="14"/>
      <c r="F10" s="14"/>
    </row>
    <row r="11" spans="1:7">
      <c r="A11" s="7">
        <v>9</v>
      </c>
      <c r="B11" s="7">
        <v>9</v>
      </c>
      <c r="C11" t="str">
        <f>VLOOKUP(B11,_Pitch!$A$2:$B$129,2,FALSE)</f>
        <v>A-2</v>
      </c>
      <c r="D11" s="14" t="s">
        <v>432</v>
      </c>
      <c r="E11" s="14"/>
      <c r="F11" s="14"/>
    </row>
    <row r="12" spans="1:7">
      <c r="A12" s="7">
        <v>10</v>
      </c>
      <c r="B12" s="7">
        <v>10</v>
      </c>
      <c r="C12" t="str">
        <f>VLOOKUP(B12,_Pitch!$A$2:$B$129,2,FALSE)</f>
        <v>A#-2</v>
      </c>
      <c r="D12" s="14" t="s">
        <v>1068</v>
      </c>
      <c r="E12" s="14" t="s">
        <v>1068</v>
      </c>
      <c r="F12" s="14" t="s">
        <v>290</v>
      </c>
    </row>
    <row r="13" spans="1:7">
      <c r="A13" s="7">
        <v>11</v>
      </c>
      <c r="B13" s="7">
        <v>11</v>
      </c>
      <c r="C13" t="str">
        <f>VLOOKUP(B13,_Pitch!$A$2:$B$129,2,FALSE)</f>
        <v>B-2</v>
      </c>
      <c r="D13" s="14" t="s">
        <v>149</v>
      </c>
      <c r="E13" s="14" t="s">
        <v>149</v>
      </c>
      <c r="F13" s="14" t="s">
        <v>290</v>
      </c>
    </row>
    <row r="14" spans="1:7">
      <c r="A14" s="7">
        <v>12</v>
      </c>
      <c r="B14" s="7">
        <v>12</v>
      </c>
      <c r="C14" t="str">
        <f>VLOOKUP(B14,_Pitch!$A$2:$B$129,2,FALSE)</f>
        <v>C-1</v>
      </c>
      <c r="D14" s="14" t="s">
        <v>434</v>
      </c>
      <c r="E14" s="14" t="s">
        <v>159</v>
      </c>
      <c r="F14" s="14" t="s">
        <v>290</v>
      </c>
    </row>
    <row r="15" spans="1:7">
      <c r="A15" s="7">
        <v>13</v>
      </c>
      <c r="B15" s="7">
        <v>13</v>
      </c>
      <c r="C15" t="str">
        <f>VLOOKUP(B15,_Pitch!$A$2:$B$129,2,FALSE)</f>
        <v>C#-1</v>
      </c>
      <c r="D15" s="14" t="s">
        <v>435</v>
      </c>
      <c r="E15" s="14" t="s">
        <v>160</v>
      </c>
      <c r="F15" s="14" t="s">
        <v>290</v>
      </c>
    </row>
    <row r="16" spans="1:7">
      <c r="A16" s="7">
        <v>14</v>
      </c>
      <c r="B16" s="7">
        <v>14</v>
      </c>
      <c r="C16" t="str">
        <f>VLOOKUP(B16,_Pitch!$A$2:$B$129,2,FALSE)</f>
        <v>D-1</v>
      </c>
      <c r="D16" s="14" t="s">
        <v>436</v>
      </c>
      <c r="E16" s="14" t="s">
        <v>161</v>
      </c>
      <c r="F16" s="14" t="s">
        <v>290</v>
      </c>
    </row>
    <row r="17" spans="1:6">
      <c r="A17" s="7">
        <v>15</v>
      </c>
      <c r="B17" s="7">
        <v>15</v>
      </c>
      <c r="C17" t="str">
        <f>VLOOKUP(B17,_Pitch!$A$2:$B$129,2,FALSE)</f>
        <v>D#-1</v>
      </c>
      <c r="D17" s="14" t="s">
        <v>436</v>
      </c>
      <c r="E17" s="14" t="s">
        <v>161</v>
      </c>
      <c r="F17" s="14" t="s">
        <v>290</v>
      </c>
    </row>
    <row r="18" spans="1:6">
      <c r="A18" s="7">
        <v>16</v>
      </c>
      <c r="B18" s="7">
        <v>16</v>
      </c>
      <c r="C18" t="str">
        <f>VLOOKUP(B18,_Pitch!$A$2:$B$129,2,FALSE)</f>
        <v>E-1</v>
      </c>
      <c r="D18" s="14" t="s">
        <v>437</v>
      </c>
      <c r="E18" s="14" t="s">
        <v>162</v>
      </c>
      <c r="F18" s="14" t="s">
        <v>290</v>
      </c>
    </row>
    <row r="19" spans="1:6">
      <c r="A19" s="7">
        <v>17</v>
      </c>
      <c r="B19" s="7">
        <v>17</v>
      </c>
      <c r="C19" t="str">
        <f>VLOOKUP(B19,_Pitch!$A$2:$B$129,2,FALSE)</f>
        <v>F-1</v>
      </c>
      <c r="D19" s="14" t="s">
        <v>437</v>
      </c>
      <c r="E19" s="14" t="s">
        <v>162</v>
      </c>
      <c r="F19" s="14" t="s">
        <v>290</v>
      </c>
    </row>
    <row r="20" spans="1:6">
      <c r="A20" s="7">
        <v>18</v>
      </c>
      <c r="B20" s="7">
        <v>18</v>
      </c>
      <c r="C20" t="str">
        <f>VLOOKUP(B20,_Pitch!$A$2:$B$129,2,FALSE)</f>
        <v>F#-1</v>
      </c>
      <c r="D20" s="14" t="s">
        <v>431</v>
      </c>
      <c r="E20" s="14"/>
      <c r="F20" s="14"/>
    </row>
    <row r="21" spans="1:6">
      <c r="A21" s="7">
        <v>19</v>
      </c>
      <c r="B21" s="7">
        <v>19</v>
      </c>
      <c r="C21" t="str">
        <f>VLOOKUP(B21,_Pitch!$A$2:$B$129,2,FALSE)</f>
        <v>G-1</v>
      </c>
      <c r="D21" s="14" t="s">
        <v>432</v>
      </c>
      <c r="E21" s="14"/>
      <c r="F21" s="14"/>
    </row>
    <row r="22" spans="1:6">
      <c r="A22" s="7">
        <v>20</v>
      </c>
      <c r="B22" s="7">
        <v>20</v>
      </c>
      <c r="C22" t="str">
        <f>VLOOKUP(B22,_Pitch!$A$2:$B$129,2,FALSE)</f>
        <v>G#-1</v>
      </c>
      <c r="D22" s="14" t="s">
        <v>432</v>
      </c>
      <c r="E22" s="14"/>
      <c r="F22" s="14"/>
    </row>
    <row r="23" spans="1:6">
      <c r="A23" s="7">
        <v>21</v>
      </c>
      <c r="B23" s="7">
        <v>21</v>
      </c>
      <c r="C23" t="str">
        <f>VLOOKUP(B23,_Pitch!$A$2:$B$129,2,FALSE)</f>
        <v>A-1</v>
      </c>
      <c r="D23" s="14" t="s">
        <v>1068</v>
      </c>
      <c r="E23" s="14" t="s">
        <v>1068</v>
      </c>
      <c r="F23" s="14" t="s">
        <v>290</v>
      </c>
    </row>
    <row r="24" spans="1:6">
      <c r="A24" s="7">
        <v>22</v>
      </c>
      <c r="B24" s="7">
        <v>22</v>
      </c>
      <c r="C24" t="str">
        <f>VLOOKUP(B24,_Pitch!$A$2:$B$129,2,FALSE)</f>
        <v>A#-1</v>
      </c>
      <c r="D24" s="14" t="s">
        <v>149</v>
      </c>
      <c r="E24" s="14" t="s">
        <v>149</v>
      </c>
      <c r="F24" s="14"/>
    </row>
    <row r="25" spans="1:6">
      <c r="A25" s="7">
        <v>23</v>
      </c>
      <c r="B25" s="7">
        <v>23</v>
      </c>
      <c r="C25" t="str">
        <f>VLOOKUP(B25,_Pitch!$A$2:$B$129,2,FALSE)</f>
        <v>B-1</v>
      </c>
      <c r="D25" s="14" t="s">
        <v>403</v>
      </c>
      <c r="E25" s="14" t="s">
        <v>403</v>
      </c>
      <c r="F25" s="14" t="s">
        <v>290</v>
      </c>
    </row>
    <row r="26" spans="1:6">
      <c r="A26" s="7">
        <v>24</v>
      </c>
      <c r="B26" s="7">
        <v>24</v>
      </c>
      <c r="C26" t="str">
        <f>VLOOKUP(B26,_Pitch!$A$2:$B$129,2,FALSE)</f>
        <v>C0</v>
      </c>
      <c r="D26" s="14" t="s">
        <v>434</v>
      </c>
      <c r="E26" s="14" t="s">
        <v>159</v>
      </c>
      <c r="F26" s="14"/>
    </row>
    <row r="27" spans="1:6">
      <c r="A27" s="7">
        <v>25</v>
      </c>
      <c r="B27" s="7">
        <v>25</v>
      </c>
      <c r="C27" t="str">
        <f>VLOOKUP(B27,_Pitch!$A$2:$B$129,2,FALSE)</f>
        <v>C#0</v>
      </c>
      <c r="D27" s="14" t="s">
        <v>435</v>
      </c>
      <c r="E27" s="14" t="s">
        <v>160</v>
      </c>
      <c r="F27" s="14" t="s">
        <v>290</v>
      </c>
    </row>
    <row r="28" spans="1:6">
      <c r="A28" s="7">
        <v>26</v>
      </c>
      <c r="B28" s="7">
        <v>26</v>
      </c>
      <c r="C28" t="str">
        <f>VLOOKUP(B28,_Pitch!$A$2:$B$129,2,FALSE)</f>
        <v>D0</v>
      </c>
      <c r="D28" s="14" t="s">
        <v>436</v>
      </c>
      <c r="E28" s="14" t="s">
        <v>161</v>
      </c>
      <c r="F28" s="14"/>
    </row>
    <row r="29" spans="1:6">
      <c r="A29" s="7">
        <v>27</v>
      </c>
      <c r="B29" s="7">
        <v>27</v>
      </c>
      <c r="C29" t="str">
        <f>VLOOKUP(B29,_Pitch!$A$2:$B$129,2,FALSE)</f>
        <v>D#0</v>
      </c>
      <c r="D29" s="14" t="s">
        <v>450</v>
      </c>
      <c r="E29" s="14" t="s">
        <v>905</v>
      </c>
      <c r="F29" s="14"/>
    </row>
    <row r="30" spans="1:6">
      <c r="A30" s="7">
        <v>28</v>
      </c>
      <c r="B30" s="7">
        <v>28</v>
      </c>
      <c r="C30" t="str">
        <f>VLOOKUP(B30,_Pitch!$A$2:$B$129,2,FALSE)</f>
        <v>E0</v>
      </c>
      <c r="D30" s="14" t="s">
        <v>937</v>
      </c>
      <c r="E30" s="14" t="s">
        <v>937</v>
      </c>
      <c r="F30" s="14"/>
    </row>
    <row r="31" spans="1:6">
      <c r="A31" s="7">
        <v>29</v>
      </c>
      <c r="B31" s="7">
        <v>29</v>
      </c>
      <c r="C31" t="str">
        <f>VLOOKUP(B31,_Pitch!$A$2:$B$129,2,FALSE)</f>
        <v>F0</v>
      </c>
      <c r="D31" s="14" t="s">
        <v>451</v>
      </c>
      <c r="E31" s="14" t="s">
        <v>933</v>
      </c>
      <c r="F31" s="14"/>
    </row>
    <row r="32" spans="1:6">
      <c r="A32" s="7">
        <v>30</v>
      </c>
      <c r="B32" s="7">
        <v>30</v>
      </c>
      <c r="C32" t="str">
        <f>VLOOKUP(B32,_Pitch!$A$2:$B$129,2,FALSE)</f>
        <v>F#0</v>
      </c>
      <c r="D32" s="14" t="s">
        <v>950</v>
      </c>
      <c r="E32" s="14" t="s">
        <v>944</v>
      </c>
      <c r="F32" s="14"/>
    </row>
    <row r="33" spans="1:6">
      <c r="A33" s="7">
        <v>31</v>
      </c>
      <c r="B33" s="7">
        <v>31</v>
      </c>
      <c r="C33" t="str">
        <f>VLOOKUP(B33,_Pitch!$A$2:$B$129,2,FALSE)</f>
        <v>G0</v>
      </c>
      <c r="D33" s="14" t="s">
        <v>959</v>
      </c>
      <c r="E33" s="14" t="s">
        <v>950</v>
      </c>
      <c r="F33" s="14"/>
    </row>
    <row r="34" spans="1:6">
      <c r="A34" s="7">
        <v>32</v>
      </c>
      <c r="B34" s="7">
        <v>32</v>
      </c>
      <c r="C34" t="str">
        <f>VLOOKUP(B34,_Pitch!$A$2:$B$129,2,FALSE)</f>
        <v>G#0</v>
      </c>
      <c r="D34" s="14" t="s">
        <v>973</v>
      </c>
      <c r="E34" s="14" t="s">
        <v>959</v>
      </c>
      <c r="F34" s="14"/>
    </row>
    <row r="35" spans="1:6">
      <c r="A35" s="7">
        <v>33</v>
      </c>
      <c r="B35" s="7">
        <v>33</v>
      </c>
      <c r="C35" t="str">
        <f>VLOOKUP(B35,_Pitch!$A$2:$B$129,2,FALSE)</f>
        <v>A0</v>
      </c>
      <c r="D35" s="14" t="s">
        <v>136</v>
      </c>
      <c r="E35" s="14" t="s">
        <v>561</v>
      </c>
      <c r="F35" s="14" t="s">
        <v>290</v>
      </c>
    </row>
    <row r="36" spans="1:6">
      <c r="A36" s="7">
        <v>34</v>
      </c>
      <c r="B36" s="7">
        <v>34</v>
      </c>
      <c r="C36" t="str">
        <f>VLOOKUP(B36,_Pitch!$A$2:$B$129,2,FALSE)</f>
        <v>A#0</v>
      </c>
      <c r="D36" s="14" t="s">
        <v>452</v>
      </c>
      <c r="E36" s="14" t="s">
        <v>135</v>
      </c>
      <c r="F36" s="14" t="s">
        <v>290</v>
      </c>
    </row>
    <row r="37" spans="1:6">
      <c r="A37" s="7">
        <v>35</v>
      </c>
      <c r="B37" s="7">
        <v>35</v>
      </c>
      <c r="C37" t="str">
        <f>VLOOKUP(B37,_Pitch!$A$2:$B$129,2,FALSE)</f>
        <v>B0</v>
      </c>
      <c r="D37" s="14" t="s">
        <v>452</v>
      </c>
      <c r="E37" s="14" t="s">
        <v>135</v>
      </c>
      <c r="F37" s="14"/>
    </row>
    <row r="38" spans="1:6">
      <c r="A38" s="7">
        <v>36</v>
      </c>
      <c r="B38" s="7">
        <v>36</v>
      </c>
      <c r="C38" t="str">
        <f>VLOOKUP(B38,_Pitch!$A$2:$B$129,2,FALSE)</f>
        <v>C1</v>
      </c>
      <c r="D38" s="14" t="s">
        <v>453</v>
      </c>
      <c r="E38" s="14" t="s">
        <v>133</v>
      </c>
      <c r="F38" s="14"/>
    </row>
    <row r="39" spans="1:6">
      <c r="A39" s="7">
        <v>37</v>
      </c>
      <c r="B39" s="7">
        <v>37</v>
      </c>
      <c r="C39" t="str">
        <f>VLOOKUP(B39,_Pitch!$A$2:$B$129,2,FALSE)</f>
        <v>C#1</v>
      </c>
      <c r="D39" s="14" t="s">
        <v>145</v>
      </c>
      <c r="E39" s="14" t="s">
        <v>145</v>
      </c>
      <c r="F39" s="14"/>
    </row>
    <row r="40" spans="1:6">
      <c r="A40" s="7">
        <v>38</v>
      </c>
      <c r="B40" s="7">
        <v>38</v>
      </c>
      <c r="C40" t="str">
        <f>VLOOKUP(B40,_Pitch!$A$2:$B$129,2,FALSE)</f>
        <v>D1</v>
      </c>
      <c r="D40" s="14" t="s">
        <v>136</v>
      </c>
      <c r="E40" s="14" t="s">
        <v>561</v>
      </c>
      <c r="F40" s="14"/>
    </row>
    <row r="41" spans="1:6">
      <c r="A41" s="7">
        <v>39</v>
      </c>
      <c r="B41" s="7">
        <v>39</v>
      </c>
      <c r="C41" t="str">
        <f>VLOOKUP(B41,_Pitch!$A$2:$B$129,2,FALSE)</f>
        <v>D#1</v>
      </c>
      <c r="D41" s="14" t="s">
        <v>136</v>
      </c>
      <c r="E41" s="14" t="s">
        <v>561</v>
      </c>
      <c r="F41" s="14" t="s">
        <v>290</v>
      </c>
    </row>
    <row r="42" spans="1:6">
      <c r="A42" s="7">
        <v>40</v>
      </c>
      <c r="B42" s="7">
        <v>40</v>
      </c>
      <c r="C42" t="str">
        <f>VLOOKUP(B42,_Pitch!$A$2:$B$129,2,FALSE)</f>
        <v>E1</v>
      </c>
      <c r="D42" s="14" t="s">
        <v>234</v>
      </c>
      <c r="E42" s="14" t="s">
        <v>1077</v>
      </c>
      <c r="F42" s="14"/>
    </row>
    <row r="43" spans="1:6">
      <c r="A43" s="7">
        <v>41</v>
      </c>
      <c r="B43" s="7">
        <v>41</v>
      </c>
      <c r="C43" t="str">
        <f>VLOOKUP(B43,_Pitch!$A$2:$B$129,2,FALSE)</f>
        <v>F1</v>
      </c>
      <c r="D43" s="14" t="s">
        <v>201</v>
      </c>
      <c r="E43" s="14" t="s">
        <v>557</v>
      </c>
      <c r="F43" s="14"/>
    </row>
    <row r="44" spans="1:6">
      <c r="A44" s="7">
        <v>42</v>
      </c>
      <c r="B44" s="7">
        <v>42</v>
      </c>
      <c r="C44" t="str">
        <f>VLOOKUP(B44,_Pitch!$A$2:$B$129,2,FALSE)</f>
        <v>F#1</v>
      </c>
      <c r="D44" s="14" t="s">
        <v>153</v>
      </c>
      <c r="E44" s="14" t="s">
        <v>153</v>
      </c>
      <c r="F44" s="14"/>
    </row>
    <row r="45" spans="1:6">
      <c r="A45" s="7">
        <v>43</v>
      </c>
      <c r="B45" s="7">
        <v>43</v>
      </c>
      <c r="C45" t="str">
        <f>VLOOKUP(B45,_Pitch!$A$2:$B$129,2,FALSE)</f>
        <v>G1</v>
      </c>
      <c r="D45" s="14" t="s">
        <v>196</v>
      </c>
      <c r="E45" s="14" t="s">
        <v>558</v>
      </c>
      <c r="F45" s="14"/>
    </row>
    <row r="46" spans="1:6">
      <c r="A46" s="7">
        <v>44</v>
      </c>
      <c r="B46" s="7">
        <v>44</v>
      </c>
      <c r="C46" t="str">
        <f>VLOOKUP(B46,_Pitch!$A$2:$B$129,2,FALSE)</f>
        <v>G#1</v>
      </c>
      <c r="D46" s="14" t="s">
        <v>1068</v>
      </c>
      <c r="E46" s="14" t="s">
        <v>1068</v>
      </c>
      <c r="F46" s="14"/>
    </row>
    <row r="47" spans="1:6">
      <c r="A47" s="7">
        <v>45</v>
      </c>
      <c r="B47" s="7">
        <v>45</v>
      </c>
      <c r="C47" t="str">
        <f>VLOOKUP(B47,_Pitch!$A$2:$B$129,2,FALSE)</f>
        <v>A1</v>
      </c>
      <c r="D47" s="14" t="s">
        <v>1010</v>
      </c>
      <c r="E47" s="14" t="s">
        <v>239</v>
      </c>
      <c r="F47" s="14"/>
    </row>
    <row r="48" spans="1:6">
      <c r="A48" s="7">
        <v>46</v>
      </c>
      <c r="B48" s="7">
        <v>46</v>
      </c>
      <c r="C48" t="str">
        <f>VLOOKUP(B48,_Pitch!$A$2:$B$129,2,FALSE)</f>
        <v>A#1</v>
      </c>
      <c r="D48" s="14" t="s">
        <v>435</v>
      </c>
      <c r="E48" s="14" t="s">
        <v>160</v>
      </c>
      <c r="F48" s="14"/>
    </row>
    <row r="49" spans="1:6">
      <c r="A49" s="7">
        <v>47</v>
      </c>
      <c r="B49" s="7">
        <v>47</v>
      </c>
      <c r="C49" t="str">
        <f>VLOOKUP(B49,_Pitch!$A$2:$B$129,2,FALSE)</f>
        <v>B1</v>
      </c>
      <c r="D49" s="14" t="s">
        <v>1005</v>
      </c>
      <c r="E49" s="14" t="s">
        <v>559</v>
      </c>
      <c r="F49" s="14"/>
    </row>
    <row r="50" spans="1:6">
      <c r="A50" s="7">
        <v>48</v>
      </c>
      <c r="B50" s="7">
        <v>48</v>
      </c>
      <c r="C50" t="str">
        <f>VLOOKUP(B50,_Pitch!$A$2:$B$129,2,FALSE)</f>
        <v>C2</v>
      </c>
      <c r="D50" s="14" t="s">
        <v>1000</v>
      </c>
      <c r="E50" s="14" t="s">
        <v>560</v>
      </c>
      <c r="F50" s="14"/>
    </row>
    <row r="51" spans="1:6">
      <c r="A51" s="7">
        <v>49</v>
      </c>
      <c r="B51" s="7">
        <v>49</v>
      </c>
      <c r="C51" t="str">
        <f>VLOOKUP(B51,_Pitch!$A$2:$B$129,2,FALSE)</f>
        <v>C#2</v>
      </c>
      <c r="D51" s="14" t="s">
        <v>944</v>
      </c>
      <c r="E51" s="14" t="s">
        <v>568</v>
      </c>
      <c r="F51" s="14"/>
    </row>
    <row r="52" spans="1:6">
      <c r="A52" s="7">
        <v>50</v>
      </c>
      <c r="B52" s="7">
        <v>50</v>
      </c>
      <c r="C52" t="str">
        <f>VLOOKUP(B52,_Pitch!$A$2:$B$129,2,FALSE)</f>
        <v>D2</v>
      </c>
      <c r="D52" s="14" t="s">
        <v>948</v>
      </c>
      <c r="E52" s="14" t="s">
        <v>210</v>
      </c>
      <c r="F52" s="14"/>
    </row>
    <row r="53" spans="1:6">
      <c r="A53" s="7">
        <v>51</v>
      </c>
      <c r="B53" s="7">
        <v>51</v>
      </c>
      <c r="C53" t="str">
        <f>VLOOKUP(B53,_Pitch!$A$2:$B$129,2,FALSE)</f>
        <v>D#2</v>
      </c>
      <c r="D53" s="14" t="s">
        <v>405</v>
      </c>
      <c r="E53" s="14" t="s">
        <v>175</v>
      </c>
      <c r="F53" s="14"/>
    </row>
    <row r="54" spans="1:6">
      <c r="A54" s="7">
        <v>52</v>
      </c>
      <c r="B54" s="7">
        <v>52</v>
      </c>
      <c r="C54" t="str">
        <f>VLOOKUP(B54,_Pitch!$A$2:$B$129,2,FALSE)</f>
        <v>E2</v>
      </c>
      <c r="D54" s="14" t="s">
        <v>454</v>
      </c>
      <c r="E54" s="14" t="s">
        <v>908</v>
      </c>
      <c r="F54" s="14"/>
    </row>
    <row r="55" spans="1:6">
      <c r="A55" s="7">
        <v>53</v>
      </c>
      <c r="B55" s="7">
        <v>53</v>
      </c>
      <c r="C55" t="str">
        <f>VLOOKUP(B55,_Pitch!$A$2:$B$129,2,FALSE)</f>
        <v>F2</v>
      </c>
      <c r="D55" s="14" t="s">
        <v>263</v>
      </c>
      <c r="E55" s="14" t="s">
        <v>181</v>
      </c>
      <c r="F55" s="14"/>
    </row>
    <row r="56" spans="1:6">
      <c r="A56" s="7">
        <v>54</v>
      </c>
      <c r="B56" s="7">
        <v>54</v>
      </c>
      <c r="C56" t="str">
        <f>VLOOKUP(B56,_Pitch!$A$2:$B$129,2,FALSE)</f>
        <v>F#2</v>
      </c>
      <c r="D56" s="14" t="s">
        <v>948</v>
      </c>
      <c r="E56" s="14" t="s">
        <v>210</v>
      </c>
      <c r="F56" s="14" t="s">
        <v>290</v>
      </c>
    </row>
    <row r="57" spans="1:6">
      <c r="A57" s="7">
        <v>55</v>
      </c>
      <c r="B57" s="7">
        <v>55</v>
      </c>
      <c r="C57" t="str">
        <f>VLOOKUP(B57,_Pitch!$A$2:$B$129,2,FALSE)</f>
        <v>G2</v>
      </c>
      <c r="D57" s="14" t="s">
        <v>904</v>
      </c>
      <c r="E57" s="14" t="s">
        <v>904</v>
      </c>
      <c r="F57" s="14"/>
    </row>
    <row r="58" spans="1:6">
      <c r="A58" s="7">
        <v>56</v>
      </c>
      <c r="B58" s="7">
        <v>56</v>
      </c>
      <c r="C58" t="str">
        <f>VLOOKUP(B58,_Pitch!$A$2:$B$129,2,FALSE)</f>
        <v>G#2</v>
      </c>
      <c r="D58" s="14" t="s">
        <v>967</v>
      </c>
      <c r="E58" s="14" t="s">
        <v>216</v>
      </c>
      <c r="F58" s="14" t="s">
        <v>290</v>
      </c>
    </row>
    <row r="59" spans="1:6">
      <c r="A59" s="7">
        <v>57</v>
      </c>
      <c r="B59" s="7">
        <v>57</v>
      </c>
      <c r="C59" t="str">
        <f>VLOOKUP(B59,_Pitch!$A$2:$B$129,2,FALSE)</f>
        <v>A2</v>
      </c>
      <c r="D59" s="14" t="s">
        <v>965</v>
      </c>
      <c r="E59" s="14" t="s">
        <v>569</v>
      </c>
      <c r="F59" s="14"/>
    </row>
    <row r="60" spans="1:6">
      <c r="A60" s="7">
        <v>58</v>
      </c>
      <c r="B60" s="7">
        <v>58</v>
      </c>
      <c r="C60" t="str">
        <f>VLOOKUP(B60,_Pitch!$A$2:$B$129,2,FALSE)</f>
        <v>A#2</v>
      </c>
      <c r="D60" s="14" t="s">
        <v>967</v>
      </c>
      <c r="E60" s="14" t="s">
        <v>216</v>
      </c>
      <c r="F60" s="14"/>
    </row>
    <row r="61" spans="1:6">
      <c r="A61" s="7">
        <v>59</v>
      </c>
      <c r="B61" s="7">
        <v>59</v>
      </c>
      <c r="C61" t="str">
        <f>VLOOKUP(B61,_Pitch!$A$2:$B$129,2,FALSE)</f>
        <v>B2</v>
      </c>
      <c r="D61" s="14" t="s">
        <v>412</v>
      </c>
      <c r="E61" s="14" t="s">
        <v>182</v>
      </c>
      <c r="F61" s="14"/>
    </row>
    <row r="62" spans="1:6">
      <c r="A62" s="7">
        <v>60</v>
      </c>
      <c r="B62" s="7">
        <v>60</v>
      </c>
      <c r="C62" t="str">
        <f>VLOOKUP(B62,_Pitch!$A$2:$B$129,2,FALSE)</f>
        <v>C3</v>
      </c>
      <c r="D62" s="14" t="s">
        <v>437</v>
      </c>
      <c r="E62" s="14" t="s">
        <v>162</v>
      </c>
      <c r="F62" s="14"/>
    </row>
    <row r="63" spans="1:6">
      <c r="A63" s="7">
        <v>61</v>
      </c>
      <c r="B63" s="7">
        <v>61</v>
      </c>
      <c r="C63" t="str">
        <f>VLOOKUP(B63,_Pitch!$A$2:$B$129,2,FALSE)</f>
        <v>C#3</v>
      </c>
      <c r="D63" s="14" t="s">
        <v>153</v>
      </c>
      <c r="E63" s="14" t="s">
        <v>153</v>
      </c>
      <c r="F63" s="14" t="s">
        <v>290</v>
      </c>
    </row>
    <row r="64" spans="1:6">
      <c r="A64" s="7">
        <v>62</v>
      </c>
      <c r="B64" s="7">
        <v>62</v>
      </c>
      <c r="C64" t="str">
        <f>VLOOKUP(B64,_Pitch!$A$2:$B$129,2,FALSE)</f>
        <v>D3</v>
      </c>
      <c r="D64" s="14" t="s">
        <v>151</v>
      </c>
      <c r="E64" s="14" t="s">
        <v>151</v>
      </c>
      <c r="F64" s="14"/>
    </row>
    <row r="65" spans="1:6">
      <c r="A65" s="7">
        <v>63</v>
      </c>
      <c r="B65" s="7">
        <v>63</v>
      </c>
      <c r="C65" t="str">
        <f>VLOOKUP(B65,_Pitch!$A$2:$B$129,2,FALSE)</f>
        <v>D#3</v>
      </c>
      <c r="D65" s="14" t="s">
        <v>154</v>
      </c>
      <c r="E65" s="14" t="s">
        <v>154</v>
      </c>
      <c r="F65" s="14"/>
    </row>
    <row r="66" spans="1:6">
      <c r="A66" s="7">
        <v>64</v>
      </c>
      <c r="B66" s="7">
        <v>64</v>
      </c>
      <c r="C66" t="str">
        <f>VLOOKUP(B66,_Pitch!$A$2:$B$129,2,FALSE)</f>
        <v>E3</v>
      </c>
      <c r="D66" s="14" t="s">
        <v>149</v>
      </c>
      <c r="E66" s="14" t="s">
        <v>149</v>
      </c>
      <c r="F66" s="14" t="s">
        <v>290</v>
      </c>
    </row>
    <row r="67" spans="1:6">
      <c r="A67" s="7">
        <v>65</v>
      </c>
      <c r="B67" s="7">
        <v>65</v>
      </c>
      <c r="C67" t="str">
        <f>VLOOKUP(B67,_Pitch!$A$2:$B$129,2,FALSE)</f>
        <v>F3</v>
      </c>
      <c r="D67" s="14" t="s">
        <v>149</v>
      </c>
      <c r="E67" s="14" t="s">
        <v>149</v>
      </c>
      <c r="F67" s="14" t="s">
        <v>290</v>
      </c>
    </row>
    <row r="68" spans="1:6">
      <c r="A68" s="7">
        <v>66</v>
      </c>
      <c r="B68" s="7">
        <v>66</v>
      </c>
      <c r="C68" t="str">
        <f>VLOOKUP(B68,_Pitch!$A$2:$B$129,2,FALSE)</f>
        <v>F#3</v>
      </c>
      <c r="D68" s="14" t="s">
        <v>136</v>
      </c>
      <c r="E68" s="14" t="s">
        <v>561</v>
      </c>
      <c r="F68" s="14" t="s">
        <v>290</v>
      </c>
    </row>
    <row r="69" spans="1:6">
      <c r="A69" s="7">
        <v>67</v>
      </c>
      <c r="B69" s="7">
        <v>67</v>
      </c>
      <c r="C69" t="str">
        <f>VLOOKUP(B69,_Pitch!$A$2:$B$129,2,FALSE)</f>
        <v>G3</v>
      </c>
      <c r="D69" s="14" t="s">
        <v>145</v>
      </c>
      <c r="E69" s="14" t="s">
        <v>145</v>
      </c>
      <c r="F69" s="14" t="s">
        <v>290</v>
      </c>
    </row>
    <row r="70" spans="1:6">
      <c r="A70" s="7">
        <v>68</v>
      </c>
      <c r="B70" s="7">
        <v>68</v>
      </c>
      <c r="C70" t="str">
        <f>VLOOKUP(B70,_Pitch!$A$2:$B$129,2,FALSE)</f>
        <v>G#3</v>
      </c>
      <c r="D70" s="14" t="s">
        <v>136</v>
      </c>
      <c r="E70" s="14" t="s">
        <v>561</v>
      </c>
      <c r="F70" s="14" t="s">
        <v>290</v>
      </c>
    </row>
    <row r="71" spans="1:6">
      <c r="A71" s="7">
        <v>69</v>
      </c>
      <c r="B71" s="7">
        <v>69</v>
      </c>
      <c r="C71" t="str">
        <f>VLOOKUP(B71,_Pitch!$A$2:$B$129,2,FALSE)</f>
        <v>A3</v>
      </c>
      <c r="D71" s="14" t="s">
        <v>136</v>
      </c>
      <c r="E71" s="14" t="s">
        <v>561</v>
      </c>
      <c r="F71" s="14" t="s">
        <v>290</v>
      </c>
    </row>
    <row r="72" spans="1:6">
      <c r="A72" s="7">
        <v>70</v>
      </c>
      <c r="B72" s="7">
        <v>70</v>
      </c>
      <c r="C72" t="str">
        <f>VLOOKUP(B72,_Pitch!$A$2:$B$129,2,FALSE)</f>
        <v>A#3</v>
      </c>
      <c r="D72" s="14" t="s">
        <v>136</v>
      </c>
      <c r="E72" s="14" t="s">
        <v>561</v>
      </c>
      <c r="F72" s="14" t="s">
        <v>290</v>
      </c>
    </row>
    <row r="73" spans="1:6">
      <c r="A73" s="7">
        <v>71</v>
      </c>
      <c r="B73" s="7">
        <v>71</v>
      </c>
      <c r="C73" t="str">
        <f>VLOOKUP(B73,_Pitch!$A$2:$B$129,2,FALSE)</f>
        <v>B3</v>
      </c>
      <c r="D73" s="14" t="s">
        <v>145</v>
      </c>
      <c r="E73" s="14" t="s">
        <v>145</v>
      </c>
      <c r="F73" s="14" t="s">
        <v>290</v>
      </c>
    </row>
    <row r="74" spans="1:6">
      <c r="A74" s="7">
        <v>72</v>
      </c>
      <c r="B74" s="7">
        <v>72</v>
      </c>
      <c r="C74" t="str">
        <f>VLOOKUP(B74,_Pitch!$A$2:$B$129,2,FALSE)</f>
        <v>C4</v>
      </c>
      <c r="D74" s="14" t="s">
        <v>201</v>
      </c>
      <c r="E74" s="14" t="s">
        <v>557</v>
      </c>
      <c r="F74" s="14" t="s">
        <v>290</v>
      </c>
    </row>
    <row r="75" spans="1:6">
      <c r="A75" s="7">
        <v>73</v>
      </c>
      <c r="B75" s="7">
        <v>73</v>
      </c>
      <c r="C75" t="str">
        <f>VLOOKUP(B75,_Pitch!$A$2:$B$129,2,FALSE)</f>
        <v>C#4</v>
      </c>
      <c r="D75" s="14" t="s">
        <v>201</v>
      </c>
      <c r="E75" s="14" t="s">
        <v>557</v>
      </c>
      <c r="F75" s="14" t="s">
        <v>290</v>
      </c>
    </row>
    <row r="76" spans="1:6">
      <c r="A76" s="7">
        <v>74</v>
      </c>
      <c r="B76" s="7">
        <v>74</v>
      </c>
      <c r="C76" t="str">
        <f>VLOOKUP(B76,_Pitch!$A$2:$B$129,2,FALSE)</f>
        <v>D4</v>
      </c>
      <c r="D76" s="14" t="s">
        <v>196</v>
      </c>
      <c r="E76" s="14" t="s">
        <v>558</v>
      </c>
      <c r="F76" s="14" t="s">
        <v>290</v>
      </c>
    </row>
    <row r="77" spans="1:6">
      <c r="A77" s="7">
        <v>75</v>
      </c>
      <c r="B77" s="7">
        <v>75</v>
      </c>
      <c r="C77" t="str">
        <f>VLOOKUP(B77,_Pitch!$A$2:$B$129,2,FALSE)</f>
        <v>D#4</v>
      </c>
      <c r="D77" s="14" t="s">
        <v>196</v>
      </c>
      <c r="E77" s="14" t="s">
        <v>558</v>
      </c>
      <c r="F77" s="14" t="s">
        <v>290</v>
      </c>
    </row>
    <row r="78" spans="1:6">
      <c r="A78" s="7">
        <v>76</v>
      </c>
      <c r="B78" s="7">
        <v>76</v>
      </c>
      <c r="C78" t="str">
        <f>VLOOKUP(B78,_Pitch!$A$2:$B$129,2,FALSE)</f>
        <v>E4</v>
      </c>
      <c r="D78" s="14" t="s">
        <v>145</v>
      </c>
      <c r="E78" s="14" t="s">
        <v>145</v>
      </c>
      <c r="F78" s="14" t="s">
        <v>290</v>
      </c>
    </row>
    <row r="79" spans="1:6">
      <c r="A79" s="7">
        <v>77</v>
      </c>
      <c r="B79" s="7">
        <v>77</v>
      </c>
      <c r="C79" t="str">
        <f>VLOOKUP(B79,_Pitch!$A$2:$B$129,2,FALSE)</f>
        <v>F4</v>
      </c>
      <c r="D79" s="14" t="s">
        <v>1010</v>
      </c>
      <c r="E79" s="14" t="s">
        <v>239</v>
      </c>
      <c r="F79" s="14" t="s">
        <v>290</v>
      </c>
    </row>
    <row r="80" spans="1:6">
      <c r="A80" s="7">
        <v>78</v>
      </c>
      <c r="B80" s="7">
        <v>78</v>
      </c>
      <c r="C80" t="str">
        <f>VLOOKUP(B80,_Pitch!$A$2:$B$129,2,FALSE)</f>
        <v>F#4</v>
      </c>
      <c r="D80" s="14" t="s">
        <v>1010</v>
      </c>
      <c r="E80" s="14" t="s">
        <v>239</v>
      </c>
      <c r="F80" s="14" t="s">
        <v>290</v>
      </c>
    </row>
    <row r="81" spans="1:6">
      <c r="A81" s="7">
        <v>79</v>
      </c>
      <c r="B81" s="7">
        <v>79</v>
      </c>
      <c r="C81" t="str">
        <f>VLOOKUP(B81,_Pitch!$A$2:$B$129,2,FALSE)</f>
        <v>G4</v>
      </c>
      <c r="D81" s="14" t="s">
        <v>1005</v>
      </c>
      <c r="E81" s="14" t="s">
        <v>559</v>
      </c>
      <c r="F81" s="14" t="s">
        <v>290</v>
      </c>
    </row>
    <row r="82" spans="1:6">
      <c r="A82" s="7">
        <v>80</v>
      </c>
      <c r="B82" s="7">
        <v>80</v>
      </c>
      <c r="C82" t="str">
        <f>VLOOKUP(B82,_Pitch!$A$2:$B$129,2,FALSE)</f>
        <v>G#4</v>
      </c>
      <c r="D82" s="14" t="s">
        <v>1005</v>
      </c>
      <c r="E82" s="14" t="s">
        <v>559</v>
      </c>
      <c r="F82" s="14" t="s">
        <v>290</v>
      </c>
    </row>
    <row r="83" spans="1:6">
      <c r="A83" s="7">
        <v>81</v>
      </c>
      <c r="B83" s="7">
        <v>81</v>
      </c>
      <c r="C83" t="str">
        <f>VLOOKUP(B83,_Pitch!$A$2:$B$129,2,FALSE)</f>
        <v>A4</v>
      </c>
      <c r="D83" s="14" t="s">
        <v>1000</v>
      </c>
      <c r="E83" s="14" t="s">
        <v>560</v>
      </c>
      <c r="F83" s="14" t="s">
        <v>290</v>
      </c>
    </row>
    <row r="84" spans="1:6">
      <c r="A84" s="7">
        <v>82</v>
      </c>
      <c r="B84" s="7">
        <v>82</v>
      </c>
      <c r="C84" t="str">
        <f>VLOOKUP(B84,_Pitch!$A$2:$B$129,2,FALSE)</f>
        <v>A#4</v>
      </c>
      <c r="D84" s="14" t="s">
        <v>1000</v>
      </c>
      <c r="E84" s="14" t="s">
        <v>560</v>
      </c>
      <c r="F84" s="14" t="s">
        <v>290</v>
      </c>
    </row>
    <row r="85" spans="1:6">
      <c r="A85" s="7">
        <v>83</v>
      </c>
      <c r="B85" s="7">
        <v>83</v>
      </c>
      <c r="C85" t="str">
        <f>VLOOKUP(B85,_Pitch!$A$2:$B$129,2,FALSE)</f>
        <v>B4</v>
      </c>
      <c r="D85" s="14" t="s">
        <v>942</v>
      </c>
      <c r="E85" s="14" t="s">
        <v>384</v>
      </c>
      <c r="F85" s="14" t="s">
        <v>290</v>
      </c>
    </row>
    <row r="86" spans="1:6">
      <c r="A86" s="7">
        <v>84</v>
      </c>
      <c r="B86" s="7">
        <v>84</v>
      </c>
      <c r="C86" t="str">
        <f>VLOOKUP(B86,_Pitch!$A$2:$B$129,2,FALSE)</f>
        <v>C5</v>
      </c>
      <c r="D86" s="14" t="s">
        <v>405</v>
      </c>
      <c r="E86" s="14" t="s">
        <v>175</v>
      </c>
      <c r="F86" s="14" t="s">
        <v>290</v>
      </c>
    </row>
    <row r="87" spans="1:6">
      <c r="A87" s="7">
        <v>85</v>
      </c>
      <c r="B87" s="7">
        <v>85</v>
      </c>
      <c r="C87" t="str">
        <f>VLOOKUP(B87,_Pitch!$A$2:$B$129,2,FALSE)</f>
        <v>C#5</v>
      </c>
      <c r="D87" s="14" t="s">
        <v>263</v>
      </c>
      <c r="E87" s="14" t="s">
        <v>181</v>
      </c>
      <c r="F87" s="14" t="s">
        <v>290</v>
      </c>
    </row>
    <row r="88" spans="1:6">
      <c r="A88" s="7">
        <v>86</v>
      </c>
      <c r="B88" s="7">
        <v>86</v>
      </c>
      <c r="C88" t="str">
        <f>VLOOKUP(B88,_Pitch!$A$2:$B$129,2,FALSE)</f>
        <v>D5</v>
      </c>
      <c r="D88" s="14" t="s">
        <v>412</v>
      </c>
      <c r="E88" s="14" t="s">
        <v>182</v>
      </c>
      <c r="F88" s="14" t="s">
        <v>290</v>
      </c>
    </row>
    <row r="89" spans="1:6">
      <c r="A89" s="7">
        <v>87</v>
      </c>
      <c r="B89" s="7">
        <v>87</v>
      </c>
      <c r="C89" t="str">
        <f>VLOOKUP(B89,_Pitch!$A$2:$B$129,2,FALSE)</f>
        <v>D#5</v>
      </c>
      <c r="D89" s="14" t="s">
        <v>405</v>
      </c>
      <c r="E89" s="14" t="s">
        <v>175</v>
      </c>
      <c r="F89" s="14" t="s">
        <v>290</v>
      </c>
    </row>
    <row r="90" spans="1:6">
      <c r="A90" s="7">
        <v>88</v>
      </c>
      <c r="B90" s="7">
        <v>88</v>
      </c>
      <c r="C90" t="str">
        <f>VLOOKUP(B90,_Pitch!$A$2:$B$129,2,FALSE)</f>
        <v>E5</v>
      </c>
      <c r="D90" s="14" t="s">
        <v>263</v>
      </c>
      <c r="E90" s="14" t="s">
        <v>181</v>
      </c>
      <c r="F90" s="14" t="s">
        <v>290</v>
      </c>
    </row>
    <row r="91" spans="1:6">
      <c r="A91" s="7">
        <v>89</v>
      </c>
      <c r="B91" s="7">
        <v>89</v>
      </c>
      <c r="C91" t="str">
        <f>VLOOKUP(B91,_Pitch!$A$2:$B$129,2,FALSE)</f>
        <v>F5</v>
      </c>
      <c r="D91" s="14" t="s">
        <v>405</v>
      </c>
      <c r="E91" s="14" t="s">
        <v>175</v>
      </c>
      <c r="F91" s="14" t="s">
        <v>290</v>
      </c>
    </row>
    <row r="92" spans="1:6">
      <c r="A92" s="7">
        <v>90</v>
      </c>
      <c r="B92" s="7">
        <v>90</v>
      </c>
      <c r="C92" t="str">
        <f>VLOOKUP(B92,_Pitch!$A$2:$B$129,2,FALSE)</f>
        <v>F#5</v>
      </c>
      <c r="D92" s="14" t="s">
        <v>263</v>
      </c>
      <c r="E92" s="14" t="s">
        <v>181</v>
      </c>
      <c r="F92" s="14" t="s">
        <v>290</v>
      </c>
    </row>
    <row r="93" spans="1:6">
      <c r="A93" s="7">
        <v>91</v>
      </c>
      <c r="B93" s="7">
        <v>91</v>
      </c>
      <c r="C93" t="str">
        <f>VLOOKUP(B93,_Pitch!$A$2:$B$129,2,FALSE)</f>
        <v>G5</v>
      </c>
      <c r="D93" s="14" t="s">
        <v>412</v>
      </c>
      <c r="E93" s="14" t="s">
        <v>182</v>
      </c>
      <c r="F93" s="14" t="s">
        <v>290</v>
      </c>
    </row>
    <row r="94" spans="1:6">
      <c r="A94" s="7">
        <v>92</v>
      </c>
      <c r="B94" s="7">
        <v>92</v>
      </c>
      <c r="C94" t="str">
        <f>VLOOKUP(B94,_Pitch!$A$2:$B$129,2,FALSE)</f>
        <v>G#5</v>
      </c>
      <c r="D94" s="14" t="s">
        <v>405</v>
      </c>
      <c r="E94" s="14" t="s">
        <v>175</v>
      </c>
      <c r="F94" s="14" t="s">
        <v>290</v>
      </c>
    </row>
    <row r="95" spans="1:6">
      <c r="A95" s="7">
        <v>93</v>
      </c>
      <c r="B95" s="7">
        <v>93</v>
      </c>
      <c r="C95" t="str">
        <f>VLOOKUP(B95,_Pitch!$A$2:$B$129,2,FALSE)</f>
        <v>A5</v>
      </c>
      <c r="D95" s="14" t="s">
        <v>263</v>
      </c>
      <c r="E95" s="14" t="s">
        <v>181</v>
      </c>
      <c r="F95" s="14" t="s">
        <v>290</v>
      </c>
    </row>
    <row r="96" spans="1:6">
      <c r="A96" s="7">
        <v>94</v>
      </c>
      <c r="B96" s="7">
        <v>94</v>
      </c>
      <c r="C96" t="str">
        <f>VLOOKUP(B96,_Pitch!$A$2:$B$129,2,FALSE)</f>
        <v>A#5</v>
      </c>
      <c r="D96" s="14" t="s">
        <v>942</v>
      </c>
      <c r="E96" s="14" t="s">
        <v>384</v>
      </c>
      <c r="F96" s="14"/>
    </row>
    <row r="97" spans="1:6">
      <c r="A97" s="7">
        <v>95</v>
      </c>
      <c r="B97" s="7">
        <v>95</v>
      </c>
      <c r="C97" t="str">
        <f>VLOOKUP(B97,_Pitch!$A$2:$B$129,2,FALSE)</f>
        <v>B5</v>
      </c>
      <c r="D97" s="14" t="s">
        <v>957</v>
      </c>
      <c r="E97" s="14" t="s">
        <v>385</v>
      </c>
      <c r="F97" s="14"/>
    </row>
    <row r="98" spans="1:6">
      <c r="A98" s="7">
        <v>96</v>
      </c>
      <c r="B98" s="7">
        <v>96</v>
      </c>
      <c r="C98" t="str">
        <f>VLOOKUP(B98,_Pitch!$A$2:$B$129,2,FALSE)</f>
        <v>C6</v>
      </c>
      <c r="D98" s="14" t="s">
        <v>405</v>
      </c>
      <c r="E98" s="14" t="s">
        <v>175</v>
      </c>
      <c r="F98" s="14" t="s">
        <v>290</v>
      </c>
    </row>
    <row r="99" spans="1:6">
      <c r="A99" s="7">
        <v>97</v>
      </c>
      <c r="B99" s="7">
        <v>97</v>
      </c>
      <c r="C99" t="str">
        <f>VLOOKUP(B99,_Pitch!$A$2:$B$129,2,FALSE)</f>
        <v>C#6</v>
      </c>
      <c r="D99" s="14" t="s">
        <v>263</v>
      </c>
      <c r="E99" s="14" t="s">
        <v>181</v>
      </c>
      <c r="F99" s="14" t="s">
        <v>290</v>
      </c>
    </row>
    <row r="100" spans="1:6">
      <c r="A100" s="7">
        <v>98</v>
      </c>
      <c r="B100" s="7">
        <v>98</v>
      </c>
      <c r="C100" t="str">
        <f>VLOOKUP(B100,_Pitch!$A$2:$B$129,2,FALSE)</f>
        <v>D6</v>
      </c>
      <c r="D100" s="14" t="s">
        <v>412</v>
      </c>
      <c r="E100" s="14" t="s">
        <v>182</v>
      </c>
      <c r="F100" s="14" t="s">
        <v>290</v>
      </c>
    </row>
    <row r="101" spans="1:6">
      <c r="A101" s="7">
        <v>99</v>
      </c>
      <c r="B101" s="7">
        <v>99</v>
      </c>
      <c r="C101" t="str">
        <f>VLOOKUP(B101,_Pitch!$A$2:$B$129,2,FALSE)</f>
        <v>D#6</v>
      </c>
      <c r="D101" s="14" t="s">
        <v>405</v>
      </c>
      <c r="E101" s="14" t="s">
        <v>175</v>
      </c>
      <c r="F101" s="14" t="s">
        <v>290</v>
      </c>
    </row>
    <row r="102" spans="1:6">
      <c r="A102" s="7">
        <v>100</v>
      </c>
      <c r="B102" s="7">
        <v>100</v>
      </c>
      <c r="C102" t="str">
        <f>VLOOKUP(B102,_Pitch!$A$2:$B$129,2,FALSE)</f>
        <v>E6</v>
      </c>
      <c r="D102" s="14" t="s">
        <v>263</v>
      </c>
      <c r="E102" s="14" t="s">
        <v>181</v>
      </c>
      <c r="F102" s="14" t="s">
        <v>290</v>
      </c>
    </row>
    <row r="103" spans="1:6">
      <c r="A103" s="7">
        <v>101</v>
      </c>
      <c r="B103" s="7">
        <v>101</v>
      </c>
      <c r="C103" t="str">
        <f>VLOOKUP(B103,_Pitch!$A$2:$B$129,2,FALSE)</f>
        <v>F6</v>
      </c>
      <c r="D103" s="14" t="s">
        <v>405</v>
      </c>
      <c r="E103" s="14" t="s">
        <v>175</v>
      </c>
      <c r="F103" s="14" t="s">
        <v>290</v>
      </c>
    </row>
    <row r="104" spans="1:6">
      <c r="A104" s="7">
        <v>102</v>
      </c>
      <c r="B104" s="7">
        <v>102</v>
      </c>
      <c r="C104" t="str">
        <f>VLOOKUP(B104,_Pitch!$A$2:$B$129,2,FALSE)</f>
        <v>F#6</v>
      </c>
      <c r="D104" s="14" t="s">
        <v>263</v>
      </c>
      <c r="E104" s="14" t="s">
        <v>181</v>
      </c>
      <c r="F104" s="14" t="s">
        <v>290</v>
      </c>
    </row>
    <row r="105" spans="1:6">
      <c r="A105" s="7">
        <v>103</v>
      </c>
      <c r="B105" s="7">
        <v>103</v>
      </c>
      <c r="C105" t="str">
        <f>VLOOKUP(B105,_Pitch!$A$2:$B$129,2,FALSE)</f>
        <v>G6</v>
      </c>
      <c r="D105" s="14" t="s">
        <v>412</v>
      </c>
      <c r="E105" s="14" t="s">
        <v>182</v>
      </c>
      <c r="F105" s="14" t="s">
        <v>290</v>
      </c>
    </row>
    <row r="106" spans="1:6">
      <c r="A106" s="7">
        <v>104</v>
      </c>
      <c r="B106" s="7">
        <v>104</v>
      </c>
      <c r="C106" t="str">
        <f>VLOOKUP(B106,_Pitch!$A$2:$B$129,2,FALSE)</f>
        <v>G#6</v>
      </c>
      <c r="D106" s="14" t="s">
        <v>405</v>
      </c>
      <c r="E106" s="14" t="s">
        <v>175</v>
      </c>
      <c r="F106" s="14" t="s">
        <v>290</v>
      </c>
    </row>
    <row r="107" spans="1:6">
      <c r="A107" s="7">
        <v>105</v>
      </c>
      <c r="B107" s="7">
        <v>105</v>
      </c>
      <c r="C107" t="str">
        <f>VLOOKUP(B107,_Pitch!$A$2:$B$129,2,FALSE)</f>
        <v>A6</v>
      </c>
      <c r="D107" s="14" t="s">
        <v>263</v>
      </c>
      <c r="E107" s="14" t="s">
        <v>181</v>
      </c>
      <c r="F107" s="14" t="s">
        <v>290</v>
      </c>
    </row>
    <row r="108" spans="1:6">
      <c r="A108" s="7">
        <v>106</v>
      </c>
      <c r="B108" s="7">
        <v>106</v>
      </c>
      <c r="C108" t="str">
        <f>VLOOKUP(B108,_Pitch!$A$2:$B$129,2,FALSE)</f>
        <v>A#6</v>
      </c>
      <c r="D108" s="14" t="s">
        <v>963</v>
      </c>
      <c r="E108" s="14" t="s">
        <v>951</v>
      </c>
      <c r="F108" s="14"/>
    </row>
    <row r="109" spans="1:6">
      <c r="A109" s="7">
        <v>107</v>
      </c>
      <c r="B109" s="7">
        <v>107</v>
      </c>
      <c r="C109" t="str">
        <f>VLOOKUP(B109,_Pitch!$A$2:$B$129,2,FALSE)</f>
        <v>B6</v>
      </c>
      <c r="D109" s="14" t="s">
        <v>975</v>
      </c>
      <c r="E109" s="14" t="s">
        <v>960</v>
      </c>
      <c r="F109" s="14"/>
    </row>
    <row r="110" spans="1:6">
      <c r="A110" s="7">
        <v>108</v>
      </c>
      <c r="B110" s="7">
        <v>108</v>
      </c>
      <c r="C110" t="str">
        <f>VLOOKUP(B110,_Pitch!$A$2:$B$129,2,FALSE)</f>
        <v>C7</v>
      </c>
      <c r="D110" s="14" t="s">
        <v>405</v>
      </c>
      <c r="E110" s="14" t="s">
        <v>175</v>
      </c>
      <c r="F110" s="14" t="s">
        <v>290</v>
      </c>
    </row>
    <row r="111" spans="1:6">
      <c r="A111" s="7">
        <v>109</v>
      </c>
      <c r="B111" s="7">
        <v>109</v>
      </c>
      <c r="C111" t="str">
        <f>VLOOKUP(B111,_Pitch!$A$2:$B$129,2,FALSE)</f>
        <v>C#7</v>
      </c>
      <c r="D111" s="14" t="s">
        <v>263</v>
      </c>
      <c r="E111" s="14" t="s">
        <v>181</v>
      </c>
      <c r="F111" s="14" t="s">
        <v>290</v>
      </c>
    </row>
    <row r="112" spans="1:6">
      <c r="A112" s="7">
        <v>110</v>
      </c>
      <c r="B112" s="7">
        <v>110</v>
      </c>
      <c r="C112" t="str">
        <f>VLOOKUP(B112,_Pitch!$A$2:$B$129,2,FALSE)</f>
        <v>D7</v>
      </c>
      <c r="D112" s="14" t="s">
        <v>412</v>
      </c>
      <c r="E112" s="14" t="s">
        <v>182</v>
      </c>
      <c r="F112" s="14" t="s">
        <v>290</v>
      </c>
    </row>
    <row r="113" spans="1:6">
      <c r="A113" s="7">
        <v>111</v>
      </c>
      <c r="B113" s="7">
        <v>111</v>
      </c>
      <c r="C113" t="str">
        <f>VLOOKUP(B113,_Pitch!$A$2:$B$129,2,FALSE)</f>
        <v>D#7</v>
      </c>
      <c r="D113" s="14" t="s">
        <v>405</v>
      </c>
      <c r="E113" s="14" t="s">
        <v>175</v>
      </c>
      <c r="F113" s="14" t="s">
        <v>290</v>
      </c>
    </row>
    <row r="114" spans="1:6">
      <c r="A114" s="7">
        <v>112</v>
      </c>
      <c r="B114" s="7">
        <v>112</v>
      </c>
      <c r="C114" t="str">
        <f>VLOOKUP(B114,_Pitch!$A$2:$B$129,2,FALSE)</f>
        <v>E7</v>
      </c>
      <c r="D114" s="14" t="s">
        <v>263</v>
      </c>
      <c r="E114" s="14" t="s">
        <v>181</v>
      </c>
      <c r="F114" s="14" t="s">
        <v>290</v>
      </c>
    </row>
    <row r="115" spans="1:6">
      <c r="A115" s="7">
        <v>113</v>
      </c>
      <c r="B115" s="7">
        <v>113</v>
      </c>
      <c r="C115" t="str">
        <f>VLOOKUP(B115,_Pitch!$A$2:$B$129,2,FALSE)</f>
        <v>F7</v>
      </c>
      <c r="D115" s="14" t="s">
        <v>405</v>
      </c>
      <c r="E115" s="14" t="s">
        <v>175</v>
      </c>
      <c r="F115" s="14" t="s">
        <v>290</v>
      </c>
    </row>
    <row r="116" spans="1:6">
      <c r="A116" s="7">
        <v>114</v>
      </c>
      <c r="B116" s="7">
        <v>114</v>
      </c>
      <c r="C116" t="str">
        <f>VLOOKUP(B116,_Pitch!$A$2:$B$129,2,FALSE)</f>
        <v>F#7</v>
      </c>
      <c r="D116" s="14" t="s">
        <v>263</v>
      </c>
      <c r="E116" s="14" t="s">
        <v>181</v>
      </c>
      <c r="F116" s="14" t="s">
        <v>290</v>
      </c>
    </row>
    <row r="117" spans="1:6">
      <c r="A117" s="7">
        <v>115</v>
      </c>
      <c r="B117" s="7">
        <v>115</v>
      </c>
      <c r="C117" t="str">
        <f>VLOOKUP(B117,_Pitch!$A$2:$B$129,2,FALSE)</f>
        <v>G7</v>
      </c>
      <c r="D117" s="14" t="s">
        <v>412</v>
      </c>
      <c r="E117" s="14" t="s">
        <v>182</v>
      </c>
      <c r="F117" s="14" t="s">
        <v>290</v>
      </c>
    </row>
    <row r="118" spans="1:6">
      <c r="A118" s="7">
        <v>116</v>
      </c>
      <c r="B118" s="7">
        <v>116</v>
      </c>
      <c r="C118" t="str">
        <f>VLOOKUP(B118,_Pitch!$A$2:$B$129,2,FALSE)</f>
        <v>G#7</v>
      </c>
      <c r="D118" s="14" t="s">
        <v>405</v>
      </c>
      <c r="E118" s="14" t="s">
        <v>175</v>
      </c>
      <c r="F118" s="14" t="s">
        <v>290</v>
      </c>
    </row>
    <row r="119" spans="1:6">
      <c r="A119" s="7">
        <v>117</v>
      </c>
      <c r="B119" s="7">
        <v>117</v>
      </c>
      <c r="C119" t="str">
        <f>VLOOKUP(B119,_Pitch!$A$2:$B$129,2,FALSE)</f>
        <v>A7</v>
      </c>
      <c r="D119" s="14" t="s">
        <v>263</v>
      </c>
      <c r="E119" s="14" t="s">
        <v>181</v>
      </c>
      <c r="F119" s="14" t="s">
        <v>290</v>
      </c>
    </row>
    <row r="120" spans="1:6">
      <c r="A120" s="7">
        <v>118</v>
      </c>
      <c r="B120" s="7">
        <v>118</v>
      </c>
      <c r="C120" t="str">
        <f>VLOOKUP(B120,_Pitch!$A$2:$B$129,2,FALSE)</f>
        <v>A#7</v>
      </c>
      <c r="D120" s="14" t="s">
        <v>975</v>
      </c>
      <c r="E120" s="14" t="s">
        <v>960</v>
      </c>
      <c r="F120" s="14" t="s">
        <v>290</v>
      </c>
    </row>
    <row r="121" spans="1:6">
      <c r="A121" s="7">
        <v>119</v>
      </c>
      <c r="B121" s="7">
        <v>119</v>
      </c>
      <c r="C121" t="str">
        <f>VLOOKUP(B121,_Pitch!$A$2:$B$129,2,FALSE)</f>
        <v>B7</v>
      </c>
      <c r="D121" s="14" t="s">
        <v>149</v>
      </c>
      <c r="E121" s="14" t="s">
        <v>149</v>
      </c>
      <c r="F121" s="14" t="s">
        <v>290</v>
      </c>
    </row>
    <row r="122" spans="1:6">
      <c r="A122" s="7">
        <v>120</v>
      </c>
      <c r="B122" s="7">
        <v>120</v>
      </c>
      <c r="C122" t="str">
        <f>VLOOKUP(B122,_Pitch!$A$2:$B$129,2,FALSE)</f>
        <v>C8</v>
      </c>
      <c r="D122" s="14" t="s">
        <v>435</v>
      </c>
      <c r="E122" s="14" t="s">
        <v>160</v>
      </c>
      <c r="F122" s="14" t="s">
        <v>290</v>
      </c>
    </row>
    <row r="123" spans="1:6">
      <c r="A123" s="7">
        <v>121</v>
      </c>
      <c r="B123" s="7">
        <v>121</v>
      </c>
      <c r="C123" t="str">
        <f>VLOOKUP(B123,_Pitch!$A$2:$B$129,2,FALSE)</f>
        <v>C#8</v>
      </c>
      <c r="D123" s="14" t="s">
        <v>437</v>
      </c>
      <c r="E123" s="14" t="s">
        <v>162</v>
      </c>
      <c r="F123" s="14" t="s">
        <v>290</v>
      </c>
    </row>
    <row r="124" spans="1:6">
      <c r="A124" s="7">
        <v>122</v>
      </c>
      <c r="B124" s="7">
        <v>122</v>
      </c>
      <c r="C124" t="str">
        <f>VLOOKUP(B124,_Pitch!$A$2:$B$129,2,FALSE)</f>
        <v>D8</v>
      </c>
      <c r="D124" s="14" t="s">
        <v>149</v>
      </c>
      <c r="E124" s="14" t="s">
        <v>149</v>
      </c>
      <c r="F124" s="14" t="s">
        <v>290</v>
      </c>
    </row>
    <row r="125" spans="1:6">
      <c r="A125" s="7">
        <v>123</v>
      </c>
      <c r="B125" s="7">
        <v>123</v>
      </c>
      <c r="C125" t="str">
        <f>VLOOKUP(B125,_Pitch!$A$2:$B$129,2,FALSE)</f>
        <v>D#8</v>
      </c>
      <c r="D125" s="14" t="s">
        <v>434</v>
      </c>
      <c r="E125" s="14" t="s">
        <v>159</v>
      </c>
      <c r="F125" s="14" t="s">
        <v>290</v>
      </c>
    </row>
    <row r="126" spans="1:6">
      <c r="A126" s="7">
        <v>124</v>
      </c>
      <c r="B126" s="7">
        <v>124</v>
      </c>
      <c r="C126" t="str">
        <f>VLOOKUP(B126,_Pitch!$A$2:$B$129,2,FALSE)</f>
        <v>E8</v>
      </c>
      <c r="D126" s="14" t="s">
        <v>436</v>
      </c>
      <c r="E126" s="14" t="s">
        <v>161</v>
      </c>
      <c r="F126" s="14" t="s">
        <v>290</v>
      </c>
    </row>
    <row r="127" spans="1:6">
      <c r="A127" s="7">
        <v>125</v>
      </c>
      <c r="B127" s="7">
        <v>125</v>
      </c>
      <c r="C127" t="str">
        <f>VLOOKUP(B127,_Pitch!$A$2:$B$129,2,FALSE)</f>
        <v>F8</v>
      </c>
      <c r="D127" s="14" t="s">
        <v>136</v>
      </c>
      <c r="E127" s="14" t="s">
        <v>561</v>
      </c>
      <c r="F127" s="14" t="s">
        <v>290</v>
      </c>
    </row>
    <row r="128" spans="1:6">
      <c r="A128" s="7">
        <v>126</v>
      </c>
      <c r="B128" s="7">
        <v>126</v>
      </c>
      <c r="C128" t="str">
        <f>VLOOKUP(B128,_Pitch!$A$2:$B$129,2,FALSE)</f>
        <v>F#8</v>
      </c>
      <c r="D128" s="14" t="s">
        <v>234</v>
      </c>
      <c r="E128" s="14" t="s">
        <v>1077</v>
      </c>
      <c r="F128" s="14" t="s">
        <v>290</v>
      </c>
    </row>
    <row r="129" spans="1:6">
      <c r="A129" s="7">
        <v>127</v>
      </c>
      <c r="B129" s="7">
        <v>127</v>
      </c>
      <c r="C129" t="str">
        <f>VLOOKUP(B129,_Pitch!$A$2:$B$129,2,FALSE)</f>
        <v>G8</v>
      </c>
      <c r="D129" s="14" t="s">
        <v>145</v>
      </c>
      <c r="E129" s="14" t="s">
        <v>145</v>
      </c>
      <c r="F129" s="14" t="s">
        <v>290</v>
      </c>
    </row>
  </sheetData>
  <autoFilter ref="A1:G129" xr:uid="{742B3A76-6405-42FA-86D0-E033350A130E}"/>
  <phoneticPr fontId="1"/>
  <dataValidations count="1">
    <dataValidation type="list" allowBlank="1" showInputMessage="1" showErrorMessage="1" sqref="F2:F129" xr:uid="{C4EF489B-37BD-47FE-94D1-0B58272E43A0}">
      <formula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37C82606-2486-4F69-9BF9-1E010E530C3C}">
          <x14:formula1>
            <xm:f>_Articulation!$B$2:B$158</xm:f>
          </x14:formula1>
          <xm:sqref>E2:E129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A6EF0-5D40-452E-A514-CB0669F5CE93}">
  <sheetPr codeName="Sheet12"/>
  <dimension ref="A1:G129"/>
  <sheetViews>
    <sheetView workbookViewId="0">
      <pane ySplit="1" topLeftCell="A2" activePane="bottomLeft" state="frozen"/>
      <selection activeCell="D14" sqref="D14"/>
      <selection pane="bottomLeft" activeCell="A2" sqref="A2"/>
    </sheetView>
  </sheetViews>
  <sheetFormatPr defaultRowHeight="13.5"/>
  <cols>
    <col min="1" max="1" width="4.5" style="7" bestFit="1" customWidth="1"/>
    <col min="2" max="2" width="4.5" bestFit="1" customWidth="1"/>
    <col min="3" max="3" width="5.5" bestFit="1" customWidth="1"/>
    <col min="4" max="4" width="45.625" customWidth="1"/>
    <col min="5" max="5" width="28.25" customWidth="1"/>
    <col min="6" max="6" width="10.25" customWidth="1"/>
  </cols>
  <sheetData>
    <row r="1" spans="1:7" s="6" customFormat="1" ht="141.75" customHeight="1">
      <c r="A1" s="15" t="s">
        <v>130</v>
      </c>
      <c r="B1" s="15" t="s">
        <v>1105</v>
      </c>
      <c r="C1" s="15" t="s">
        <v>1106</v>
      </c>
      <c r="D1" s="16" t="s">
        <v>131</v>
      </c>
      <c r="E1" s="23" t="s">
        <v>132</v>
      </c>
      <c r="F1" s="17" t="s">
        <v>664</v>
      </c>
      <c r="G1" s="15" t="s">
        <v>696</v>
      </c>
    </row>
    <row r="2" spans="1:7">
      <c r="A2" s="7">
        <v>0</v>
      </c>
      <c r="B2" s="7">
        <v>0</v>
      </c>
      <c r="C2" t="str">
        <f>VLOOKUP(B2,_Pitch!$A$2:$B$129,2,FALSE)</f>
        <v>C-2</v>
      </c>
      <c r="D2" s="14" t="s">
        <v>455</v>
      </c>
      <c r="E2" s="14"/>
      <c r="F2" s="14"/>
    </row>
    <row r="3" spans="1:7">
      <c r="A3" s="7">
        <v>1</v>
      </c>
      <c r="B3" s="7">
        <v>1</v>
      </c>
      <c r="C3" t="str">
        <f>VLOOKUP(B3,_Pitch!$A$2:$B$129,2,FALSE)</f>
        <v>C#-2</v>
      </c>
      <c r="D3" s="14"/>
      <c r="E3" s="14"/>
      <c r="F3" s="14"/>
    </row>
    <row r="4" spans="1:7">
      <c r="A4" s="7">
        <v>2</v>
      </c>
      <c r="B4" s="7">
        <v>2</v>
      </c>
      <c r="C4" t="str">
        <f>VLOOKUP(B4,_Pitch!$A$2:$B$129,2,FALSE)</f>
        <v>D-2</v>
      </c>
      <c r="D4" s="14" t="s">
        <v>455</v>
      </c>
      <c r="E4" s="14" t="s">
        <v>455</v>
      </c>
      <c r="F4" s="14"/>
    </row>
    <row r="5" spans="1:7">
      <c r="A5" s="7">
        <v>3</v>
      </c>
      <c r="B5" s="7">
        <v>3</v>
      </c>
      <c r="C5" t="str">
        <f>VLOOKUP(B5,_Pitch!$A$2:$B$129,2,FALSE)</f>
        <v>D#-2</v>
      </c>
      <c r="D5" s="14" t="s">
        <v>455</v>
      </c>
      <c r="E5" s="14" t="s">
        <v>455</v>
      </c>
      <c r="F5" s="14"/>
    </row>
    <row r="6" spans="1:7">
      <c r="A6" s="7">
        <v>4</v>
      </c>
      <c r="B6" s="7">
        <v>4</v>
      </c>
      <c r="C6" t="str">
        <f>VLOOKUP(B6,_Pitch!$A$2:$B$129,2,FALSE)</f>
        <v>E-2</v>
      </c>
      <c r="D6" s="14" t="s">
        <v>455</v>
      </c>
      <c r="E6" s="14" t="s">
        <v>455</v>
      </c>
      <c r="F6" s="14"/>
    </row>
    <row r="7" spans="1:7">
      <c r="A7" s="7">
        <v>5</v>
      </c>
      <c r="B7" s="7">
        <v>5</v>
      </c>
      <c r="C7" t="str">
        <f>VLOOKUP(B7,_Pitch!$A$2:$B$129,2,FALSE)</f>
        <v>F-2</v>
      </c>
      <c r="D7" s="14" t="s">
        <v>455</v>
      </c>
      <c r="E7" s="14" t="s">
        <v>455</v>
      </c>
      <c r="F7" s="14"/>
    </row>
    <row r="8" spans="1:7">
      <c r="A8" s="7">
        <v>6</v>
      </c>
      <c r="B8" s="7">
        <v>6</v>
      </c>
      <c r="C8" t="str">
        <f>VLOOKUP(B8,_Pitch!$A$2:$B$129,2,FALSE)</f>
        <v>F#-2</v>
      </c>
      <c r="D8" s="14" t="s">
        <v>400</v>
      </c>
      <c r="E8" s="14"/>
      <c r="F8" s="14"/>
    </row>
    <row r="9" spans="1:7">
      <c r="A9" s="7">
        <v>7</v>
      </c>
      <c r="B9" s="7">
        <v>7</v>
      </c>
      <c r="C9" t="str">
        <f>VLOOKUP(B9,_Pitch!$A$2:$B$129,2,FALSE)</f>
        <v>G-2</v>
      </c>
      <c r="D9" s="14" t="s">
        <v>401</v>
      </c>
      <c r="E9" s="14"/>
      <c r="F9" s="14"/>
    </row>
    <row r="10" spans="1:7">
      <c r="A10" s="7">
        <v>8</v>
      </c>
      <c r="B10" s="7">
        <v>8</v>
      </c>
      <c r="C10" t="str">
        <f>VLOOKUP(B10,_Pitch!$A$2:$B$129,2,FALSE)</f>
        <v>G#-2</v>
      </c>
      <c r="D10" s="14" t="s">
        <v>402</v>
      </c>
      <c r="E10" s="14"/>
      <c r="F10" s="14"/>
    </row>
    <row r="11" spans="1:7">
      <c r="A11" s="7">
        <v>9</v>
      </c>
      <c r="B11" s="7">
        <v>9</v>
      </c>
      <c r="C11" t="str">
        <f>VLOOKUP(B11,_Pitch!$A$2:$B$129,2,FALSE)</f>
        <v>A-2</v>
      </c>
      <c r="D11" s="14" t="s">
        <v>456</v>
      </c>
      <c r="E11" s="14"/>
      <c r="F11" s="14"/>
    </row>
    <row r="12" spans="1:7">
      <c r="A12" s="7">
        <v>10</v>
      </c>
      <c r="B12" s="7">
        <v>10</v>
      </c>
      <c r="C12" t="str">
        <f>VLOOKUP(B12,_Pitch!$A$2:$B$129,2,FALSE)</f>
        <v>A#-2</v>
      </c>
      <c r="D12" s="14" t="s">
        <v>1068</v>
      </c>
      <c r="E12" s="14" t="s">
        <v>1068</v>
      </c>
      <c r="F12" s="14" t="s">
        <v>290</v>
      </c>
    </row>
    <row r="13" spans="1:7">
      <c r="A13" s="7">
        <v>11</v>
      </c>
      <c r="B13" s="7">
        <v>11</v>
      </c>
      <c r="C13" t="str">
        <f>VLOOKUP(B13,_Pitch!$A$2:$B$129,2,FALSE)</f>
        <v>B-2</v>
      </c>
      <c r="D13" s="14" t="s">
        <v>153</v>
      </c>
      <c r="E13" s="14" t="s">
        <v>153</v>
      </c>
      <c r="F13" s="14" t="s">
        <v>290</v>
      </c>
    </row>
    <row r="14" spans="1:7">
      <c r="A14" s="7">
        <v>12</v>
      </c>
      <c r="B14" s="7">
        <v>12</v>
      </c>
      <c r="C14" t="str">
        <f>VLOOKUP(B14,_Pitch!$A$2:$B$129,2,FALSE)</f>
        <v>C-1</v>
      </c>
      <c r="D14" s="14" t="s">
        <v>164</v>
      </c>
      <c r="E14" s="14" t="s">
        <v>164</v>
      </c>
      <c r="F14" s="14"/>
    </row>
    <row r="15" spans="1:7">
      <c r="A15" s="7">
        <v>13</v>
      </c>
      <c r="B15" s="7">
        <v>13</v>
      </c>
      <c r="C15" t="str">
        <f>VLOOKUP(B15,_Pitch!$A$2:$B$129,2,FALSE)</f>
        <v>C#-1</v>
      </c>
      <c r="D15" s="14" t="s">
        <v>165</v>
      </c>
      <c r="E15" s="14" t="s">
        <v>165</v>
      </c>
      <c r="F15" s="14"/>
    </row>
    <row r="16" spans="1:7">
      <c r="A16" s="7">
        <v>14</v>
      </c>
      <c r="B16" s="7">
        <v>14</v>
      </c>
      <c r="C16" t="str">
        <f>VLOOKUP(B16,_Pitch!$A$2:$B$129,2,FALSE)</f>
        <v>D-1</v>
      </c>
      <c r="D16" s="14" t="s">
        <v>166</v>
      </c>
      <c r="E16" s="14" t="s">
        <v>166</v>
      </c>
      <c r="F16" s="14"/>
    </row>
    <row r="17" spans="1:6">
      <c r="A17" s="7">
        <v>15</v>
      </c>
      <c r="B17" s="7">
        <v>15</v>
      </c>
      <c r="C17" t="str">
        <f>VLOOKUP(B17,_Pitch!$A$2:$B$129,2,FALSE)</f>
        <v>D#-1</v>
      </c>
      <c r="D17" s="14" t="s">
        <v>167</v>
      </c>
      <c r="E17" s="14" t="s">
        <v>167</v>
      </c>
      <c r="F17" s="14"/>
    </row>
    <row r="18" spans="1:6">
      <c r="A18" s="7">
        <v>16</v>
      </c>
      <c r="B18" s="7">
        <v>16</v>
      </c>
      <c r="C18" t="str">
        <f>VLOOKUP(B18,_Pitch!$A$2:$B$129,2,FALSE)</f>
        <v>E-1</v>
      </c>
      <c r="D18" s="14" t="s">
        <v>168</v>
      </c>
      <c r="E18" s="14" t="s">
        <v>168</v>
      </c>
      <c r="F18" s="14"/>
    </row>
    <row r="19" spans="1:6">
      <c r="A19" s="7">
        <v>17</v>
      </c>
      <c r="B19" s="7">
        <v>17</v>
      </c>
      <c r="C19" t="str">
        <f>VLOOKUP(B19,_Pitch!$A$2:$B$129,2,FALSE)</f>
        <v>F-1</v>
      </c>
      <c r="D19" s="14" t="s">
        <v>169</v>
      </c>
      <c r="E19" s="14" t="s">
        <v>169</v>
      </c>
      <c r="F19" s="14" t="s">
        <v>567</v>
      </c>
    </row>
    <row r="20" spans="1:6">
      <c r="A20" s="7">
        <v>18</v>
      </c>
      <c r="B20" s="7">
        <v>18</v>
      </c>
      <c r="C20" t="str">
        <f>VLOOKUP(B20,_Pitch!$A$2:$B$129,2,FALSE)</f>
        <v>F#-1</v>
      </c>
      <c r="D20" s="14" t="s">
        <v>401</v>
      </c>
      <c r="E20" s="14"/>
      <c r="F20" s="14"/>
    </row>
    <row r="21" spans="1:6">
      <c r="A21" s="7">
        <v>19</v>
      </c>
      <c r="B21" s="7">
        <v>19</v>
      </c>
      <c r="C21" t="str">
        <f>VLOOKUP(B21,_Pitch!$A$2:$B$129,2,FALSE)</f>
        <v>G-1</v>
      </c>
      <c r="D21" s="14" t="s">
        <v>402</v>
      </c>
      <c r="E21" s="14"/>
      <c r="F21" s="14"/>
    </row>
    <row r="22" spans="1:6">
      <c r="A22" s="7">
        <v>20</v>
      </c>
      <c r="B22" s="7">
        <v>20</v>
      </c>
      <c r="C22" t="str">
        <f>VLOOKUP(B22,_Pitch!$A$2:$B$129,2,FALSE)</f>
        <v>G#-1</v>
      </c>
      <c r="D22" s="14" t="s">
        <v>457</v>
      </c>
      <c r="E22" s="14"/>
      <c r="F22" s="14"/>
    </row>
    <row r="23" spans="1:6">
      <c r="A23" s="7">
        <v>21</v>
      </c>
      <c r="B23" s="7">
        <v>21</v>
      </c>
      <c r="C23" t="str">
        <f>VLOOKUP(B23,_Pitch!$A$2:$B$129,2,FALSE)</f>
        <v>A-1</v>
      </c>
      <c r="D23" s="14" t="s">
        <v>1068</v>
      </c>
      <c r="E23" s="14" t="s">
        <v>1068</v>
      </c>
      <c r="F23" s="14" t="s">
        <v>290</v>
      </c>
    </row>
    <row r="24" spans="1:6">
      <c r="A24" s="7">
        <v>22</v>
      </c>
      <c r="B24" s="7">
        <v>22</v>
      </c>
      <c r="C24" t="str">
        <f>VLOOKUP(B24,_Pitch!$A$2:$B$129,2,FALSE)</f>
        <v>A#-1</v>
      </c>
      <c r="D24" s="14" t="s">
        <v>149</v>
      </c>
      <c r="E24" s="14" t="s">
        <v>149</v>
      </c>
      <c r="F24" s="14"/>
    </row>
    <row r="25" spans="1:6">
      <c r="A25" s="7">
        <v>23</v>
      </c>
      <c r="B25" s="7">
        <v>23</v>
      </c>
      <c r="C25" t="str">
        <f>VLOOKUP(B25,_Pitch!$A$2:$B$129,2,FALSE)</f>
        <v>B-1</v>
      </c>
      <c r="D25" s="14" t="s">
        <v>403</v>
      </c>
      <c r="E25" s="14" t="s">
        <v>403</v>
      </c>
      <c r="F25" s="14"/>
    </row>
    <row r="26" spans="1:6">
      <c r="A26" s="7">
        <v>24</v>
      </c>
      <c r="B26" s="7">
        <v>24</v>
      </c>
      <c r="C26" t="str">
        <f>VLOOKUP(B26,_Pitch!$A$2:$B$129,2,FALSE)</f>
        <v>C0</v>
      </c>
      <c r="D26" s="14" t="s">
        <v>159</v>
      </c>
      <c r="E26" s="14" t="s">
        <v>159</v>
      </c>
      <c r="F26" s="14"/>
    </row>
    <row r="27" spans="1:6">
      <c r="A27" s="7">
        <v>25</v>
      </c>
      <c r="B27" s="7">
        <v>25</v>
      </c>
      <c r="C27" t="str">
        <f>VLOOKUP(B27,_Pitch!$A$2:$B$129,2,FALSE)</f>
        <v>C#0</v>
      </c>
      <c r="D27" s="14" t="s">
        <v>160</v>
      </c>
      <c r="E27" s="14" t="s">
        <v>160</v>
      </c>
      <c r="F27" s="14" t="s">
        <v>290</v>
      </c>
    </row>
    <row r="28" spans="1:6">
      <c r="A28" s="7">
        <v>26</v>
      </c>
      <c r="B28" s="7">
        <v>26</v>
      </c>
      <c r="C28" t="str">
        <f>VLOOKUP(B28,_Pitch!$A$2:$B$129,2,FALSE)</f>
        <v>D0</v>
      </c>
      <c r="D28" s="14" t="s">
        <v>161</v>
      </c>
      <c r="E28" s="14" t="s">
        <v>161</v>
      </c>
      <c r="F28" s="14"/>
    </row>
    <row r="29" spans="1:6">
      <c r="A29" s="7">
        <v>27</v>
      </c>
      <c r="B29" s="7">
        <v>27</v>
      </c>
      <c r="C29" t="str">
        <f>VLOOKUP(B29,_Pitch!$A$2:$B$129,2,FALSE)</f>
        <v>D#0</v>
      </c>
      <c r="D29" s="14" t="s">
        <v>420</v>
      </c>
      <c r="E29" s="14" t="s">
        <v>206</v>
      </c>
      <c r="F29" s="14" t="s">
        <v>567</v>
      </c>
    </row>
    <row r="30" spans="1:6">
      <c r="A30" s="7">
        <v>28</v>
      </c>
      <c r="B30" s="7">
        <v>28</v>
      </c>
      <c r="C30" t="str">
        <f>VLOOKUP(B30,_Pitch!$A$2:$B$129,2,FALSE)</f>
        <v>E0</v>
      </c>
      <c r="D30" s="14" t="s">
        <v>464</v>
      </c>
      <c r="E30" s="14" t="s">
        <v>209</v>
      </c>
      <c r="F30" s="14" t="s">
        <v>567</v>
      </c>
    </row>
    <row r="31" spans="1:6">
      <c r="A31" s="7">
        <v>29</v>
      </c>
      <c r="B31" s="7">
        <v>29</v>
      </c>
      <c r="C31" t="str">
        <f>VLOOKUP(B31,_Pitch!$A$2:$B$129,2,FALSE)</f>
        <v>F0</v>
      </c>
      <c r="D31" s="14" t="s">
        <v>442</v>
      </c>
      <c r="E31" s="14" t="s">
        <v>179</v>
      </c>
      <c r="F31" s="14" t="s">
        <v>290</v>
      </c>
    </row>
    <row r="32" spans="1:6">
      <c r="A32" s="7">
        <v>30</v>
      </c>
      <c r="B32" s="7">
        <v>30</v>
      </c>
      <c r="C32" t="str">
        <f>VLOOKUP(B32,_Pitch!$A$2:$B$129,2,FALSE)</f>
        <v>F#0</v>
      </c>
      <c r="D32" s="14" t="s">
        <v>444</v>
      </c>
      <c r="E32" s="14" t="s">
        <v>180</v>
      </c>
      <c r="F32" s="14"/>
    </row>
    <row r="33" spans="1:6">
      <c r="A33" s="7">
        <v>31</v>
      </c>
      <c r="B33" s="7">
        <v>31</v>
      </c>
      <c r="C33" t="str">
        <f>VLOOKUP(B33,_Pitch!$A$2:$B$129,2,FALSE)</f>
        <v>G0</v>
      </c>
      <c r="D33" s="14" t="s">
        <v>424</v>
      </c>
      <c r="E33" s="14" t="s">
        <v>212</v>
      </c>
      <c r="F33" s="14" t="s">
        <v>567</v>
      </c>
    </row>
    <row r="34" spans="1:6">
      <c r="A34" s="7">
        <v>32</v>
      </c>
      <c r="B34" s="7">
        <v>32</v>
      </c>
      <c r="C34" t="str">
        <f>VLOOKUP(B34,_Pitch!$A$2:$B$129,2,FALSE)</f>
        <v>G#0</v>
      </c>
      <c r="D34" s="14" t="s">
        <v>473</v>
      </c>
      <c r="E34" s="14" t="s">
        <v>215</v>
      </c>
      <c r="F34" s="14" t="s">
        <v>567</v>
      </c>
    </row>
    <row r="35" spans="1:6">
      <c r="A35" s="7">
        <v>33</v>
      </c>
      <c r="B35" s="7">
        <v>33</v>
      </c>
      <c r="C35" t="str">
        <f>VLOOKUP(B35,_Pitch!$A$2:$B$129,2,FALSE)</f>
        <v>A0</v>
      </c>
      <c r="D35" s="14" t="s">
        <v>139</v>
      </c>
      <c r="E35" s="14" t="s">
        <v>139</v>
      </c>
      <c r="F35" s="14"/>
    </row>
    <row r="36" spans="1:6">
      <c r="A36" s="7">
        <v>34</v>
      </c>
      <c r="B36" s="7">
        <v>34</v>
      </c>
      <c r="C36" t="str">
        <f>VLOOKUP(B36,_Pitch!$A$2:$B$129,2,FALSE)</f>
        <v>A#0</v>
      </c>
      <c r="D36" s="14" t="s">
        <v>133</v>
      </c>
      <c r="E36" s="14" t="s">
        <v>133</v>
      </c>
      <c r="F36" s="14" t="s">
        <v>290</v>
      </c>
    </row>
    <row r="37" spans="1:6">
      <c r="A37" s="7">
        <v>35</v>
      </c>
      <c r="B37" s="7">
        <v>35</v>
      </c>
      <c r="C37" t="str">
        <f>VLOOKUP(B37,_Pitch!$A$2:$B$129,2,FALSE)</f>
        <v>B0</v>
      </c>
      <c r="D37" s="14" t="s">
        <v>135</v>
      </c>
      <c r="E37" s="14" t="s">
        <v>135</v>
      </c>
      <c r="F37" s="14"/>
    </row>
    <row r="38" spans="1:6">
      <c r="A38" s="7">
        <v>36</v>
      </c>
      <c r="B38" s="7">
        <v>36</v>
      </c>
      <c r="C38" t="str">
        <f>VLOOKUP(B38,_Pitch!$A$2:$B$129,2,FALSE)</f>
        <v>C1</v>
      </c>
      <c r="D38" s="14" t="s">
        <v>133</v>
      </c>
      <c r="E38" s="14" t="s">
        <v>133</v>
      </c>
      <c r="F38" s="14"/>
    </row>
    <row r="39" spans="1:6">
      <c r="A39" s="7">
        <v>37</v>
      </c>
      <c r="B39" s="7">
        <v>37</v>
      </c>
      <c r="C39" t="str">
        <f>VLOOKUP(B39,_Pitch!$A$2:$B$129,2,FALSE)</f>
        <v>C#1</v>
      </c>
      <c r="D39" s="14" t="s">
        <v>145</v>
      </c>
      <c r="E39" s="14" t="s">
        <v>145</v>
      </c>
      <c r="F39" s="14"/>
    </row>
    <row r="40" spans="1:6">
      <c r="A40" s="7">
        <v>38</v>
      </c>
      <c r="B40" s="7">
        <v>38</v>
      </c>
      <c r="C40" t="str">
        <f>VLOOKUP(B40,_Pitch!$A$2:$B$129,2,FALSE)</f>
        <v>D1</v>
      </c>
      <c r="D40" s="14" t="s">
        <v>136</v>
      </c>
      <c r="E40" s="14" t="s">
        <v>561</v>
      </c>
      <c r="F40" s="14"/>
    </row>
    <row r="41" spans="1:6">
      <c r="A41" s="7">
        <v>39</v>
      </c>
      <c r="B41" s="7">
        <v>39</v>
      </c>
      <c r="C41" t="str">
        <f>VLOOKUP(B41,_Pitch!$A$2:$B$129,2,FALSE)</f>
        <v>D#1</v>
      </c>
      <c r="D41" s="14" t="s">
        <v>141</v>
      </c>
      <c r="E41" s="14" t="s">
        <v>565</v>
      </c>
      <c r="F41" s="14" t="s">
        <v>567</v>
      </c>
    </row>
    <row r="42" spans="1:6">
      <c r="A42" s="7">
        <v>40</v>
      </c>
      <c r="B42" s="7">
        <v>40</v>
      </c>
      <c r="C42" t="str">
        <f>VLOOKUP(B42,_Pitch!$A$2:$B$129,2,FALSE)</f>
        <v>E1</v>
      </c>
      <c r="D42" s="14" t="s">
        <v>234</v>
      </c>
      <c r="E42" s="14" t="s">
        <v>1077</v>
      </c>
      <c r="F42" s="14"/>
    </row>
    <row r="43" spans="1:6">
      <c r="A43" s="7">
        <v>41</v>
      </c>
      <c r="B43" s="7">
        <v>41</v>
      </c>
      <c r="C43" t="str">
        <f>VLOOKUP(B43,_Pitch!$A$2:$B$129,2,FALSE)</f>
        <v>F1</v>
      </c>
      <c r="D43" s="14" t="s">
        <v>201</v>
      </c>
      <c r="E43" s="14" t="s">
        <v>557</v>
      </c>
      <c r="F43" s="14"/>
    </row>
    <row r="44" spans="1:6">
      <c r="A44" s="7">
        <v>42</v>
      </c>
      <c r="B44" s="7">
        <v>42</v>
      </c>
      <c r="C44" t="str">
        <f>VLOOKUP(B44,_Pitch!$A$2:$B$129,2,FALSE)</f>
        <v>F#1</v>
      </c>
      <c r="D44" s="14" t="s">
        <v>153</v>
      </c>
      <c r="E44" s="14" t="s">
        <v>153</v>
      </c>
      <c r="F44" s="14"/>
    </row>
    <row r="45" spans="1:6">
      <c r="A45" s="7">
        <v>43</v>
      </c>
      <c r="B45" s="7">
        <v>43</v>
      </c>
      <c r="C45" t="str">
        <f>VLOOKUP(B45,_Pitch!$A$2:$B$129,2,FALSE)</f>
        <v>G1</v>
      </c>
      <c r="D45" s="14" t="s">
        <v>196</v>
      </c>
      <c r="E45" s="14" t="s">
        <v>558</v>
      </c>
      <c r="F45" s="14"/>
    </row>
    <row r="46" spans="1:6">
      <c r="A46" s="7">
        <v>44</v>
      </c>
      <c r="B46" s="7">
        <v>44</v>
      </c>
      <c r="C46" t="str">
        <f>VLOOKUP(B46,_Pitch!$A$2:$B$129,2,FALSE)</f>
        <v>G#1</v>
      </c>
      <c r="D46" s="14" t="s">
        <v>1068</v>
      </c>
      <c r="E46" s="14" t="s">
        <v>1068</v>
      </c>
      <c r="F46" s="14"/>
    </row>
    <row r="47" spans="1:6">
      <c r="A47" s="7">
        <v>45</v>
      </c>
      <c r="B47" s="7">
        <v>45</v>
      </c>
      <c r="C47" t="str">
        <f>VLOOKUP(B47,_Pitch!$A$2:$B$129,2,FALSE)</f>
        <v>A1</v>
      </c>
      <c r="D47" s="14" t="s">
        <v>1010</v>
      </c>
      <c r="E47" s="14" t="s">
        <v>239</v>
      </c>
      <c r="F47" s="14"/>
    </row>
    <row r="48" spans="1:6">
      <c r="A48" s="7">
        <v>46</v>
      </c>
      <c r="B48" s="7">
        <v>46</v>
      </c>
      <c r="C48" t="str">
        <f>VLOOKUP(B48,_Pitch!$A$2:$B$129,2,FALSE)</f>
        <v>A#1</v>
      </c>
      <c r="D48" s="14" t="s">
        <v>160</v>
      </c>
      <c r="E48" s="14" t="s">
        <v>160</v>
      </c>
      <c r="F48" s="14"/>
    </row>
    <row r="49" spans="1:6">
      <c r="A49" s="7">
        <v>47</v>
      </c>
      <c r="B49" s="7">
        <v>47</v>
      </c>
      <c r="C49" t="str">
        <f>VLOOKUP(B49,_Pitch!$A$2:$B$129,2,FALSE)</f>
        <v>B1</v>
      </c>
      <c r="D49" s="14" t="s">
        <v>1005</v>
      </c>
      <c r="E49" s="14" t="s">
        <v>559</v>
      </c>
      <c r="F49" s="14"/>
    </row>
    <row r="50" spans="1:6">
      <c r="A50" s="7">
        <v>48</v>
      </c>
      <c r="B50" s="7">
        <v>48</v>
      </c>
      <c r="C50" t="str">
        <f>VLOOKUP(B50,_Pitch!$A$2:$B$129,2,FALSE)</f>
        <v>C2</v>
      </c>
      <c r="D50" s="14" t="s">
        <v>1000</v>
      </c>
      <c r="E50" s="14" t="s">
        <v>560</v>
      </c>
      <c r="F50" s="14"/>
    </row>
    <row r="51" spans="1:6">
      <c r="A51" s="7">
        <v>49</v>
      </c>
      <c r="B51" s="7">
        <v>49</v>
      </c>
      <c r="C51" t="str">
        <f>VLOOKUP(B51,_Pitch!$A$2:$B$129,2,FALSE)</f>
        <v>C#2</v>
      </c>
      <c r="D51" s="14" t="s">
        <v>944</v>
      </c>
      <c r="E51" s="14" t="s">
        <v>568</v>
      </c>
      <c r="F51" s="14"/>
    </row>
    <row r="52" spans="1:6">
      <c r="A52" s="7">
        <v>50</v>
      </c>
      <c r="B52" s="7">
        <v>50</v>
      </c>
      <c r="C52" t="str">
        <f>VLOOKUP(B52,_Pitch!$A$2:$B$129,2,FALSE)</f>
        <v>D2</v>
      </c>
      <c r="D52" s="14" t="s">
        <v>949</v>
      </c>
      <c r="E52" s="14" t="s">
        <v>210</v>
      </c>
      <c r="F52" s="14"/>
    </row>
    <row r="53" spans="1:6">
      <c r="A53" s="7">
        <v>51</v>
      </c>
      <c r="B53" s="7">
        <v>51</v>
      </c>
      <c r="C53" t="str">
        <f>VLOOKUP(B53,_Pitch!$A$2:$B$129,2,FALSE)</f>
        <v>D#2</v>
      </c>
      <c r="D53" s="14" t="s">
        <v>421</v>
      </c>
      <c r="E53" s="14" t="s">
        <v>175</v>
      </c>
      <c r="F53" s="14"/>
    </row>
    <row r="54" spans="1:6">
      <c r="A54" s="7">
        <v>52</v>
      </c>
      <c r="B54" s="7">
        <v>52</v>
      </c>
      <c r="C54" t="str">
        <f>VLOOKUP(B54,_Pitch!$A$2:$B$129,2,FALSE)</f>
        <v>E2</v>
      </c>
      <c r="D54" s="14" t="s">
        <v>965</v>
      </c>
      <c r="E54" s="14" t="s">
        <v>905</v>
      </c>
      <c r="F54" s="14"/>
    </row>
    <row r="55" spans="1:6">
      <c r="A55" s="7">
        <v>53</v>
      </c>
      <c r="B55" s="7">
        <v>53</v>
      </c>
      <c r="C55" t="str">
        <f>VLOOKUP(B55,_Pitch!$A$2:$B$129,2,FALSE)</f>
        <v>F2</v>
      </c>
      <c r="D55" s="14" t="s">
        <v>443</v>
      </c>
      <c r="E55" s="14" t="s">
        <v>181</v>
      </c>
      <c r="F55" s="14"/>
    </row>
    <row r="56" spans="1:6">
      <c r="A56" s="7">
        <v>54</v>
      </c>
      <c r="B56" s="7">
        <v>54</v>
      </c>
      <c r="C56" t="str">
        <f>VLOOKUP(B56,_Pitch!$A$2:$B$129,2,FALSE)</f>
        <v>F#2</v>
      </c>
      <c r="D56" s="14" t="s">
        <v>968</v>
      </c>
      <c r="E56" s="14" t="s">
        <v>919</v>
      </c>
      <c r="F56" s="14"/>
    </row>
    <row r="57" spans="1:6">
      <c r="A57" s="7">
        <v>55</v>
      </c>
      <c r="B57" s="7">
        <v>55</v>
      </c>
      <c r="C57" t="str">
        <f>VLOOKUP(B57,_Pitch!$A$2:$B$129,2,FALSE)</f>
        <v>G2</v>
      </c>
      <c r="D57" s="14" t="s">
        <v>950</v>
      </c>
      <c r="E57" s="14" t="s">
        <v>904</v>
      </c>
      <c r="F57" s="14"/>
    </row>
    <row r="58" spans="1:6">
      <c r="A58" s="7">
        <v>56</v>
      </c>
      <c r="B58" s="7">
        <v>56</v>
      </c>
      <c r="C58" t="str">
        <f>VLOOKUP(B58,_Pitch!$A$2:$B$129,2,FALSE)</f>
        <v>G#2</v>
      </c>
      <c r="D58" s="14" t="s">
        <v>958</v>
      </c>
      <c r="E58" s="14" t="s">
        <v>914</v>
      </c>
      <c r="F58" s="14"/>
    </row>
    <row r="59" spans="1:6">
      <c r="A59" s="7">
        <v>57</v>
      </c>
      <c r="B59" s="7">
        <v>57</v>
      </c>
      <c r="C59" t="str">
        <f>VLOOKUP(B59,_Pitch!$A$2:$B$129,2,FALSE)</f>
        <v>A2</v>
      </c>
      <c r="D59" s="14" t="s">
        <v>959</v>
      </c>
      <c r="E59" s="14" t="s">
        <v>569</v>
      </c>
      <c r="F59" s="14"/>
    </row>
    <row r="60" spans="1:6">
      <c r="A60" s="7">
        <v>58</v>
      </c>
      <c r="B60" s="7">
        <v>58</v>
      </c>
      <c r="C60" t="str">
        <f>VLOOKUP(B60,_Pitch!$A$2:$B$129,2,FALSE)</f>
        <v>A#2</v>
      </c>
      <c r="D60" s="14" t="s">
        <v>964</v>
      </c>
      <c r="E60" s="14" t="s">
        <v>216</v>
      </c>
      <c r="F60" s="14"/>
    </row>
    <row r="61" spans="1:6">
      <c r="A61" s="7">
        <v>59</v>
      </c>
      <c r="B61" s="7">
        <v>59</v>
      </c>
      <c r="C61" t="str">
        <f>VLOOKUP(B61,_Pitch!$A$2:$B$129,2,FALSE)</f>
        <v>B2</v>
      </c>
      <c r="D61" s="14" t="s">
        <v>412</v>
      </c>
      <c r="E61" s="14" t="s">
        <v>182</v>
      </c>
      <c r="F61" s="14"/>
    </row>
    <row r="62" spans="1:6">
      <c r="A62" s="7">
        <v>60</v>
      </c>
      <c r="B62" s="7">
        <v>60</v>
      </c>
      <c r="C62" t="str">
        <f>VLOOKUP(B62,_Pitch!$A$2:$B$129,2,FALSE)</f>
        <v>C3</v>
      </c>
      <c r="D62" s="14" t="s">
        <v>162</v>
      </c>
      <c r="E62" s="14" t="s">
        <v>162</v>
      </c>
      <c r="F62" s="14"/>
    </row>
    <row r="63" spans="1:6">
      <c r="A63" s="7">
        <v>61</v>
      </c>
      <c r="B63" s="7">
        <v>61</v>
      </c>
      <c r="C63" t="str">
        <f>VLOOKUP(B63,_Pitch!$A$2:$B$129,2,FALSE)</f>
        <v>C#3</v>
      </c>
      <c r="D63" s="14" t="s">
        <v>153</v>
      </c>
      <c r="E63" s="14" t="s">
        <v>153</v>
      </c>
      <c r="F63" s="14" t="s">
        <v>290</v>
      </c>
    </row>
    <row r="64" spans="1:6">
      <c r="A64" s="7">
        <v>62</v>
      </c>
      <c r="B64" s="7">
        <v>62</v>
      </c>
      <c r="C64" t="str">
        <f>VLOOKUP(B64,_Pitch!$A$2:$B$129,2,FALSE)</f>
        <v>D3</v>
      </c>
      <c r="D64" s="14" t="s">
        <v>151</v>
      </c>
      <c r="E64" s="14" t="s">
        <v>151</v>
      </c>
      <c r="F64" s="14"/>
    </row>
    <row r="65" spans="1:6">
      <c r="A65" s="7">
        <v>63</v>
      </c>
      <c r="B65" s="7">
        <v>63</v>
      </c>
      <c r="C65" t="str">
        <f>VLOOKUP(B65,_Pitch!$A$2:$B$129,2,FALSE)</f>
        <v>D#3</v>
      </c>
      <c r="D65" s="14" t="s">
        <v>154</v>
      </c>
      <c r="E65" s="14" t="s">
        <v>154</v>
      </c>
      <c r="F65" s="14"/>
    </row>
    <row r="66" spans="1:6">
      <c r="A66" s="7">
        <v>64</v>
      </c>
      <c r="B66" s="7">
        <v>64</v>
      </c>
      <c r="C66" t="str">
        <f>VLOOKUP(B66,_Pitch!$A$2:$B$129,2,FALSE)</f>
        <v>E3</v>
      </c>
      <c r="D66" s="14" t="s">
        <v>156</v>
      </c>
      <c r="E66" s="14" t="s">
        <v>156</v>
      </c>
      <c r="F66" s="14"/>
    </row>
    <row r="67" spans="1:6">
      <c r="A67" s="7">
        <v>65</v>
      </c>
      <c r="B67" s="7">
        <v>65</v>
      </c>
      <c r="C67" t="str">
        <f>VLOOKUP(B67,_Pitch!$A$2:$B$129,2,FALSE)</f>
        <v>F3</v>
      </c>
      <c r="D67" s="14" t="s">
        <v>458</v>
      </c>
      <c r="E67" s="14" t="s">
        <v>152</v>
      </c>
      <c r="F67" s="14" t="s">
        <v>567</v>
      </c>
    </row>
    <row r="68" spans="1:6">
      <c r="A68" s="7">
        <v>66</v>
      </c>
      <c r="B68" s="7">
        <v>66</v>
      </c>
      <c r="C68" t="str">
        <f>VLOOKUP(B68,_Pitch!$A$2:$B$129,2,FALSE)</f>
        <v>F#3</v>
      </c>
      <c r="D68" s="14" t="s">
        <v>657</v>
      </c>
      <c r="E68" s="14"/>
      <c r="F68" s="14"/>
    </row>
    <row r="69" spans="1:6">
      <c r="A69" s="7">
        <v>67</v>
      </c>
      <c r="B69" s="7">
        <v>67</v>
      </c>
      <c r="C69" t="str">
        <f>VLOOKUP(B69,_Pitch!$A$2:$B$129,2,FALSE)</f>
        <v>G3</v>
      </c>
      <c r="D69" s="14" t="s">
        <v>658</v>
      </c>
      <c r="E69" s="14"/>
      <c r="F69" s="14"/>
    </row>
    <row r="70" spans="1:6">
      <c r="A70" s="7">
        <v>68</v>
      </c>
      <c r="B70" s="7">
        <v>68</v>
      </c>
      <c r="C70" t="str">
        <f>VLOOKUP(B70,_Pitch!$A$2:$B$129,2,FALSE)</f>
        <v>G#3</v>
      </c>
      <c r="D70" s="14" t="s">
        <v>665</v>
      </c>
      <c r="E70" s="14"/>
      <c r="F70" s="14"/>
    </row>
    <row r="71" spans="1:6">
      <c r="A71" s="7">
        <v>69</v>
      </c>
      <c r="B71" s="7">
        <v>69</v>
      </c>
      <c r="C71" t="str">
        <f>VLOOKUP(B71,_Pitch!$A$2:$B$129,2,FALSE)</f>
        <v>A3</v>
      </c>
      <c r="D71" s="14" t="s">
        <v>140</v>
      </c>
      <c r="E71" s="14" t="s">
        <v>140</v>
      </c>
      <c r="F71" s="14" t="s">
        <v>567</v>
      </c>
    </row>
    <row r="72" spans="1:6">
      <c r="A72" s="7">
        <v>70</v>
      </c>
      <c r="B72" s="7">
        <v>70</v>
      </c>
      <c r="C72" t="str">
        <f>VLOOKUP(B72,_Pitch!$A$2:$B$129,2,FALSE)</f>
        <v>A#3</v>
      </c>
      <c r="D72" s="14" t="s">
        <v>666</v>
      </c>
      <c r="E72" s="14"/>
      <c r="F72" s="14"/>
    </row>
    <row r="73" spans="1:6">
      <c r="A73" s="7">
        <v>71</v>
      </c>
      <c r="B73" s="7">
        <v>71</v>
      </c>
      <c r="C73" t="str">
        <f>VLOOKUP(B73,_Pitch!$A$2:$B$129,2,FALSE)</f>
        <v>B3</v>
      </c>
      <c r="D73" s="14" t="s">
        <v>144</v>
      </c>
      <c r="E73" s="14" t="s">
        <v>144</v>
      </c>
      <c r="F73" s="14" t="s">
        <v>663</v>
      </c>
    </row>
    <row r="74" spans="1:6">
      <c r="A74" s="7">
        <v>72</v>
      </c>
      <c r="B74" s="7">
        <v>72</v>
      </c>
      <c r="C74" t="str">
        <f>VLOOKUP(B74,_Pitch!$A$2:$B$129,2,FALSE)</f>
        <v>C4</v>
      </c>
      <c r="D74" s="14" t="s">
        <v>204</v>
      </c>
      <c r="E74" s="14" t="s">
        <v>204</v>
      </c>
      <c r="F74" s="14" t="s">
        <v>663</v>
      </c>
    </row>
    <row r="75" spans="1:6">
      <c r="A75" s="7">
        <v>73</v>
      </c>
      <c r="B75" s="7">
        <v>73</v>
      </c>
      <c r="C75" t="str">
        <f>VLOOKUP(B75,_Pitch!$A$2:$B$129,2,FALSE)</f>
        <v>C#4</v>
      </c>
      <c r="D75" s="14" t="s">
        <v>203</v>
      </c>
      <c r="E75" s="14" t="s">
        <v>203</v>
      </c>
      <c r="F75" s="14"/>
    </row>
    <row r="76" spans="1:6">
      <c r="A76" s="7">
        <v>74</v>
      </c>
      <c r="B76" s="7">
        <v>74</v>
      </c>
      <c r="C76" t="str">
        <f>VLOOKUP(B76,_Pitch!$A$2:$B$129,2,FALSE)</f>
        <v>D4</v>
      </c>
      <c r="D76" s="14" t="s">
        <v>199</v>
      </c>
      <c r="E76" s="14" t="s">
        <v>199</v>
      </c>
      <c r="F76" s="14" t="s">
        <v>663</v>
      </c>
    </row>
    <row r="77" spans="1:6">
      <c r="A77" s="7">
        <v>75</v>
      </c>
      <c r="B77" s="7">
        <v>75</v>
      </c>
      <c r="C77" t="str">
        <f>VLOOKUP(B77,_Pitch!$A$2:$B$129,2,FALSE)</f>
        <v>D#4</v>
      </c>
      <c r="D77" s="14" t="s">
        <v>198</v>
      </c>
      <c r="E77" s="14" t="s">
        <v>198</v>
      </c>
      <c r="F77" s="14"/>
    </row>
    <row r="78" spans="1:6">
      <c r="A78" s="7">
        <v>76</v>
      </c>
      <c r="B78" s="7">
        <v>76</v>
      </c>
      <c r="C78" t="str">
        <f>VLOOKUP(B78,_Pitch!$A$2:$B$129,2,FALSE)</f>
        <v>E4</v>
      </c>
      <c r="D78" s="14" t="s">
        <v>145</v>
      </c>
      <c r="E78" s="14" t="s">
        <v>145</v>
      </c>
      <c r="F78" s="14" t="s">
        <v>290</v>
      </c>
    </row>
    <row r="79" spans="1:6">
      <c r="A79" s="7">
        <v>77</v>
      </c>
      <c r="B79" s="7">
        <v>77</v>
      </c>
      <c r="C79" t="str">
        <f>VLOOKUP(B79,_Pitch!$A$2:$B$129,2,FALSE)</f>
        <v>F4</v>
      </c>
      <c r="D79" s="14" t="s">
        <v>1009</v>
      </c>
      <c r="E79" s="14" t="s">
        <v>1009</v>
      </c>
      <c r="F79" s="14" t="s">
        <v>663</v>
      </c>
    </row>
    <row r="80" spans="1:6">
      <c r="A80" s="7">
        <v>78</v>
      </c>
      <c r="B80" s="7">
        <v>78</v>
      </c>
      <c r="C80" t="str">
        <f>VLOOKUP(B80,_Pitch!$A$2:$B$129,2,FALSE)</f>
        <v>F#4</v>
      </c>
      <c r="D80" s="14" t="s">
        <v>193</v>
      </c>
      <c r="E80" s="14" t="s">
        <v>193</v>
      </c>
      <c r="F80" s="14"/>
    </row>
    <row r="81" spans="1:6">
      <c r="A81" s="7">
        <v>79</v>
      </c>
      <c r="B81" s="7">
        <v>79</v>
      </c>
      <c r="C81" t="str">
        <f>VLOOKUP(B81,_Pitch!$A$2:$B$129,2,FALSE)</f>
        <v>G4</v>
      </c>
      <c r="D81" s="14" t="s">
        <v>1003</v>
      </c>
      <c r="E81" s="14" t="s">
        <v>1003</v>
      </c>
      <c r="F81" s="14" t="s">
        <v>663</v>
      </c>
    </row>
    <row r="82" spans="1:6">
      <c r="A82" s="7">
        <v>80</v>
      </c>
      <c r="B82" s="7">
        <v>80</v>
      </c>
      <c r="C82" t="str">
        <f>VLOOKUP(B82,_Pitch!$A$2:$B$129,2,FALSE)</f>
        <v>G#4</v>
      </c>
      <c r="D82" s="14" t="s">
        <v>191</v>
      </c>
      <c r="E82" s="14" t="s">
        <v>191</v>
      </c>
      <c r="F82" s="14"/>
    </row>
    <row r="83" spans="1:6">
      <c r="A83" s="7">
        <v>81</v>
      </c>
      <c r="B83" s="7">
        <v>81</v>
      </c>
      <c r="C83" t="str">
        <f>VLOOKUP(B83,_Pitch!$A$2:$B$129,2,FALSE)</f>
        <v>A4</v>
      </c>
      <c r="D83" s="14" t="s">
        <v>998</v>
      </c>
      <c r="E83" s="14" t="s">
        <v>998</v>
      </c>
      <c r="F83" s="14" t="s">
        <v>663</v>
      </c>
    </row>
    <row r="84" spans="1:6">
      <c r="A84" s="7">
        <v>82</v>
      </c>
      <c r="B84" s="7">
        <v>82</v>
      </c>
      <c r="C84" t="str">
        <f>VLOOKUP(B84,_Pitch!$A$2:$B$129,2,FALSE)</f>
        <v>A#4</v>
      </c>
      <c r="D84" s="14" t="s">
        <v>189</v>
      </c>
      <c r="E84" s="14" t="s">
        <v>189</v>
      </c>
      <c r="F84" s="14"/>
    </row>
    <row r="85" spans="1:6">
      <c r="A85" s="7">
        <v>83</v>
      </c>
      <c r="B85" s="7">
        <v>83</v>
      </c>
      <c r="C85" t="str">
        <f>VLOOKUP(B85,_Pitch!$A$2:$B$129,2,FALSE)</f>
        <v>B4</v>
      </c>
      <c r="D85" s="14" t="s">
        <v>943</v>
      </c>
      <c r="E85" s="14" t="s">
        <v>384</v>
      </c>
      <c r="F85" s="14"/>
    </row>
    <row r="86" spans="1:6">
      <c r="A86" s="7">
        <v>84</v>
      </c>
      <c r="B86" s="7">
        <v>84</v>
      </c>
      <c r="C86" t="str">
        <f>VLOOKUP(B86,_Pitch!$A$2:$B$129,2,FALSE)</f>
        <v>C5</v>
      </c>
      <c r="D86" s="14" t="s">
        <v>423</v>
      </c>
      <c r="E86" s="14" t="s">
        <v>423</v>
      </c>
      <c r="F86" s="14" t="s">
        <v>567</v>
      </c>
    </row>
    <row r="87" spans="1:6">
      <c r="A87" s="7">
        <v>85</v>
      </c>
      <c r="B87" s="7">
        <v>85</v>
      </c>
      <c r="C87" t="str">
        <f>VLOOKUP(B87,_Pitch!$A$2:$B$129,2,FALSE)</f>
        <v>C#5</v>
      </c>
      <c r="D87" s="14" t="s">
        <v>463</v>
      </c>
      <c r="E87" s="14" t="s">
        <v>463</v>
      </c>
      <c r="F87" s="14" t="s">
        <v>567</v>
      </c>
    </row>
    <row r="88" spans="1:6">
      <c r="A88" s="7">
        <v>86</v>
      </c>
      <c r="B88" s="7">
        <v>86</v>
      </c>
      <c r="C88" t="str">
        <f>VLOOKUP(B88,_Pitch!$A$2:$B$129,2,FALSE)</f>
        <v>D5</v>
      </c>
      <c r="D88" s="14" t="s">
        <v>937</v>
      </c>
      <c r="E88" s="14" t="s">
        <v>937</v>
      </c>
      <c r="F88" s="14"/>
    </row>
    <row r="89" spans="1:6">
      <c r="A89" s="7">
        <v>87</v>
      </c>
      <c r="B89" s="7">
        <v>87</v>
      </c>
      <c r="C89" t="str">
        <f>VLOOKUP(B89,_Pitch!$A$2:$B$129,2,FALSE)</f>
        <v>D#5</v>
      </c>
      <c r="D89" s="14" t="s">
        <v>465</v>
      </c>
      <c r="E89" s="14" t="s">
        <v>465</v>
      </c>
      <c r="F89" s="14" t="s">
        <v>567</v>
      </c>
    </row>
    <row r="90" spans="1:6">
      <c r="A90" s="7">
        <v>88</v>
      </c>
      <c r="B90" s="7">
        <v>88</v>
      </c>
      <c r="C90" t="str">
        <f>VLOOKUP(B90,_Pitch!$A$2:$B$129,2,FALSE)</f>
        <v>E5</v>
      </c>
      <c r="D90" s="14" t="s">
        <v>466</v>
      </c>
      <c r="E90" s="14" t="s">
        <v>466</v>
      </c>
      <c r="F90" s="14" t="s">
        <v>567</v>
      </c>
    </row>
    <row r="91" spans="1:6">
      <c r="A91" s="7">
        <v>89</v>
      </c>
      <c r="B91" s="7">
        <v>89</v>
      </c>
      <c r="C91" t="str">
        <f>VLOOKUP(B91,_Pitch!$A$2:$B$129,2,FALSE)</f>
        <v>F5</v>
      </c>
      <c r="D91" s="14" t="s">
        <v>420</v>
      </c>
      <c r="E91" s="14" t="s">
        <v>206</v>
      </c>
      <c r="F91" s="14" t="s">
        <v>290</v>
      </c>
    </row>
    <row r="92" spans="1:6">
      <c r="A92" s="7">
        <v>90</v>
      </c>
      <c r="B92" s="7">
        <v>90</v>
      </c>
      <c r="C92" t="str">
        <f>VLOOKUP(B92,_Pitch!$A$2:$B$129,2,FALSE)</f>
        <v>F#5</v>
      </c>
      <c r="D92" s="14" t="s">
        <v>464</v>
      </c>
      <c r="E92" s="14" t="s">
        <v>209</v>
      </c>
      <c r="F92" s="14" t="s">
        <v>290</v>
      </c>
    </row>
    <row r="93" spans="1:6">
      <c r="A93" s="7">
        <v>91</v>
      </c>
      <c r="B93" s="7">
        <v>91</v>
      </c>
      <c r="C93" t="str">
        <f>VLOOKUP(B93,_Pitch!$A$2:$B$129,2,FALSE)</f>
        <v>G5</v>
      </c>
      <c r="D93" s="14" t="s">
        <v>944</v>
      </c>
      <c r="E93" s="14" t="s">
        <v>568</v>
      </c>
      <c r="F93" s="14" t="s">
        <v>290</v>
      </c>
    </row>
    <row r="94" spans="1:6">
      <c r="A94" s="7">
        <v>92</v>
      </c>
      <c r="B94" s="7">
        <v>92</v>
      </c>
      <c r="C94" t="str">
        <f>VLOOKUP(B94,_Pitch!$A$2:$B$129,2,FALSE)</f>
        <v>G#5</v>
      </c>
      <c r="D94" s="14" t="s">
        <v>467</v>
      </c>
      <c r="E94" s="14" t="s">
        <v>207</v>
      </c>
      <c r="F94" s="14" t="s">
        <v>567</v>
      </c>
    </row>
    <row r="95" spans="1:6">
      <c r="A95" s="7">
        <v>93</v>
      </c>
      <c r="B95" s="7">
        <v>93</v>
      </c>
      <c r="C95" t="str">
        <f>VLOOKUP(B95,_Pitch!$A$2:$B$129,2,FALSE)</f>
        <v>A5</v>
      </c>
      <c r="D95" s="14" t="s">
        <v>468</v>
      </c>
      <c r="E95" s="14" t="s">
        <v>208</v>
      </c>
      <c r="F95" s="14" t="s">
        <v>567</v>
      </c>
    </row>
    <row r="96" spans="1:6">
      <c r="A96" s="7">
        <v>94</v>
      </c>
      <c r="B96" s="7">
        <v>94</v>
      </c>
      <c r="C96" t="str">
        <f>VLOOKUP(B96,_Pitch!$A$2:$B$129,2,FALSE)</f>
        <v>A#5</v>
      </c>
      <c r="D96" s="14" t="s">
        <v>949</v>
      </c>
      <c r="E96" s="14" t="s">
        <v>210</v>
      </c>
      <c r="F96" s="14" t="s">
        <v>290</v>
      </c>
    </row>
    <row r="97" spans="1:6">
      <c r="A97" s="7">
        <v>95</v>
      </c>
      <c r="B97" s="7">
        <v>95</v>
      </c>
      <c r="C97" t="str">
        <f>VLOOKUP(B97,_Pitch!$A$2:$B$129,2,FALSE)</f>
        <v>B5</v>
      </c>
      <c r="D97" s="14" t="s">
        <v>958</v>
      </c>
      <c r="E97" s="14" t="s">
        <v>914</v>
      </c>
      <c r="F97" s="14" t="s">
        <v>290</v>
      </c>
    </row>
    <row r="98" spans="1:6">
      <c r="A98" s="7">
        <v>96</v>
      </c>
      <c r="B98" s="7">
        <v>96</v>
      </c>
      <c r="C98" t="str">
        <f>VLOOKUP(B98,_Pitch!$A$2:$B$129,2,FALSE)</f>
        <v>C6</v>
      </c>
      <c r="D98" s="14" t="s">
        <v>422</v>
      </c>
      <c r="E98" s="14" t="s">
        <v>910</v>
      </c>
      <c r="F98" s="14" t="s">
        <v>567</v>
      </c>
    </row>
    <row r="99" spans="1:6">
      <c r="A99" s="7">
        <v>97</v>
      </c>
      <c r="B99" s="7">
        <v>97</v>
      </c>
      <c r="C99" t="str">
        <f>VLOOKUP(B99,_Pitch!$A$2:$B$129,2,FALSE)</f>
        <v>C#6</v>
      </c>
      <c r="D99" s="14" t="s">
        <v>469</v>
      </c>
      <c r="E99" s="14" t="s">
        <v>913</v>
      </c>
      <c r="F99" s="14" t="s">
        <v>567</v>
      </c>
    </row>
    <row r="100" spans="1:6">
      <c r="A100" s="7">
        <v>98</v>
      </c>
      <c r="B100" s="7">
        <v>98</v>
      </c>
      <c r="C100" t="str">
        <f>VLOOKUP(B100,_Pitch!$A$2:$B$129,2,FALSE)</f>
        <v>D6</v>
      </c>
      <c r="D100" s="14" t="s">
        <v>950</v>
      </c>
      <c r="E100" s="14" t="s">
        <v>904</v>
      </c>
      <c r="F100" s="14" t="s">
        <v>290</v>
      </c>
    </row>
    <row r="101" spans="1:6">
      <c r="A101" s="7">
        <v>99</v>
      </c>
      <c r="B101" s="7">
        <v>99</v>
      </c>
      <c r="C101" t="str">
        <f>VLOOKUP(B101,_Pitch!$A$2:$B$129,2,FALSE)</f>
        <v>D#6</v>
      </c>
      <c r="D101" s="14" t="s">
        <v>470</v>
      </c>
      <c r="E101" s="14" t="s">
        <v>911</v>
      </c>
      <c r="F101" s="14" t="s">
        <v>567</v>
      </c>
    </row>
    <row r="102" spans="1:6">
      <c r="A102" s="7">
        <v>100</v>
      </c>
      <c r="B102" s="7">
        <v>100</v>
      </c>
      <c r="C102" t="str">
        <f>VLOOKUP(B102,_Pitch!$A$2:$B$129,2,FALSE)</f>
        <v>E6</v>
      </c>
      <c r="D102" s="14" t="s">
        <v>471</v>
      </c>
      <c r="E102" s="14" t="s">
        <v>912</v>
      </c>
      <c r="F102" s="14" t="s">
        <v>567</v>
      </c>
    </row>
    <row r="103" spans="1:6">
      <c r="A103" s="7">
        <v>101</v>
      </c>
      <c r="B103" s="7">
        <v>101</v>
      </c>
      <c r="C103" t="str">
        <f>VLOOKUP(B103,_Pitch!$A$2:$B$129,2,FALSE)</f>
        <v>F6</v>
      </c>
      <c r="D103" s="14" t="s">
        <v>424</v>
      </c>
      <c r="E103" s="14" t="s">
        <v>212</v>
      </c>
      <c r="F103" s="14" t="s">
        <v>290</v>
      </c>
    </row>
    <row r="104" spans="1:6">
      <c r="A104" s="7">
        <v>102</v>
      </c>
      <c r="B104" s="7">
        <v>102</v>
      </c>
      <c r="C104" t="str">
        <f>VLOOKUP(B104,_Pitch!$A$2:$B$129,2,FALSE)</f>
        <v>F#6</v>
      </c>
      <c r="D104" s="14" t="s">
        <v>473</v>
      </c>
      <c r="E104" s="14" t="s">
        <v>215</v>
      </c>
      <c r="F104" s="14" t="s">
        <v>290</v>
      </c>
    </row>
    <row r="105" spans="1:6">
      <c r="A105" s="7">
        <v>103</v>
      </c>
      <c r="B105" s="7">
        <v>103</v>
      </c>
      <c r="C105" t="str">
        <f>VLOOKUP(B105,_Pitch!$A$2:$B$129,2,FALSE)</f>
        <v>G6</v>
      </c>
      <c r="D105" s="14" t="s">
        <v>959</v>
      </c>
      <c r="E105" s="14" t="s">
        <v>569</v>
      </c>
      <c r="F105" s="14" t="s">
        <v>290</v>
      </c>
    </row>
    <row r="106" spans="1:6">
      <c r="A106" s="7">
        <v>104</v>
      </c>
      <c r="B106" s="7">
        <v>104</v>
      </c>
      <c r="C106" t="str">
        <f>VLOOKUP(B106,_Pitch!$A$2:$B$129,2,FALSE)</f>
        <v>G#6</v>
      </c>
      <c r="D106" s="14" t="s">
        <v>474</v>
      </c>
      <c r="E106" s="14" t="s">
        <v>213</v>
      </c>
      <c r="F106" s="14" t="s">
        <v>567</v>
      </c>
    </row>
    <row r="107" spans="1:6">
      <c r="A107" s="7">
        <v>105</v>
      </c>
      <c r="B107" s="7">
        <v>105</v>
      </c>
      <c r="C107" t="str">
        <f>VLOOKUP(B107,_Pitch!$A$2:$B$129,2,FALSE)</f>
        <v>A6</v>
      </c>
      <c r="D107" s="14" t="s">
        <v>475</v>
      </c>
      <c r="E107" s="14" t="s">
        <v>214</v>
      </c>
      <c r="F107" s="14" t="s">
        <v>567</v>
      </c>
    </row>
    <row r="108" spans="1:6">
      <c r="A108" s="7">
        <v>106</v>
      </c>
      <c r="B108" s="7">
        <v>106</v>
      </c>
      <c r="C108" t="str">
        <f>VLOOKUP(B108,_Pitch!$A$2:$B$129,2,FALSE)</f>
        <v>A#6</v>
      </c>
      <c r="D108" s="14" t="s">
        <v>964</v>
      </c>
      <c r="E108" s="14" t="s">
        <v>216</v>
      </c>
      <c r="F108" s="14" t="s">
        <v>290</v>
      </c>
    </row>
    <row r="109" spans="1:6">
      <c r="A109" s="7">
        <v>107</v>
      </c>
      <c r="B109" s="7">
        <v>107</v>
      </c>
      <c r="C109" t="str">
        <f>VLOOKUP(B109,_Pitch!$A$2:$B$129,2,FALSE)</f>
        <v>B6</v>
      </c>
      <c r="D109" s="14" t="s">
        <v>968</v>
      </c>
      <c r="E109" s="14" t="s">
        <v>919</v>
      </c>
      <c r="F109" s="14" t="s">
        <v>290</v>
      </c>
    </row>
    <row r="110" spans="1:6">
      <c r="A110" s="7">
        <v>108</v>
      </c>
      <c r="B110" s="7">
        <v>108</v>
      </c>
      <c r="C110" t="str">
        <f>VLOOKUP(B110,_Pitch!$A$2:$B$129,2,FALSE)</f>
        <v>C7</v>
      </c>
      <c r="D110" s="14" t="s">
        <v>969</v>
      </c>
      <c r="E110" s="14" t="s">
        <v>915</v>
      </c>
      <c r="F110" s="14" t="s">
        <v>567</v>
      </c>
    </row>
    <row r="111" spans="1:6">
      <c r="A111" s="7">
        <v>109</v>
      </c>
      <c r="B111" s="7">
        <v>109</v>
      </c>
      <c r="C111" t="str">
        <f>VLOOKUP(B111,_Pitch!$A$2:$B$129,2,FALSE)</f>
        <v>C#7</v>
      </c>
      <c r="D111" s="14" t="s">
        <v>970</v>
      </c>
      <c r="E111" s="14" t="s">
        <v>918</v>
      </c>
      <c r="F111" s="14" t="s">
        <v>567</v>
      </c>
    </row>
    <row r="112" spans="1:6">
      <c r="A112" s="7">
        <v>110</v>
      </c>
      <c r="B112" s="7">
        <v>110</v>
      </c>
      <c r="C112" t="str">
        <f>VLOOKUP(B112,_Pitch!$A$2:$B$129,2,FALSE)</f>
        <v>D7</v>
      </c>
      <c r="D112" s="14" t="s">
        <v>965</v>
      </c>
      <c r="E112" s="14" t="s">
        <v>905</v>
      </c>
      <c r="F112" s="14" t="s">
        <v>290</v>
      </c>
    </row>
    <row r="113" spans="1:6">
      <c r="A113" s="7">
        <v>111</v>
      </c>
      <c r="B113" s="7">
        <v>111</v>
      </c>
      <c r="C113" t="str">
        <f>VLOOKUP(B113,_Pitch!$A$2:$B$129,2,FALSE)</f>
        <v>D#7</v>
      </c>
      <c r="D113" s="14" t="s">
        <v>971</v>
      </c>
      <c r="E113" s="14" t="s">
        <v>916</v>
      </c>
      <c r="F113" s="14" t="s">
        <v>567</v>
      </c>
    </row>
    <row r="114" spans="1:6">
      <c r="A114" s="7">
        <v>112</v>
      </c>
      <c r="B114" s="7">
        <v>112</v>
      </c>
      <c r="C114" t="str">
        <f>VLOOKUP(B114,_Pitch!$A$2:$B$129,2,FALSE)</f>
        <v>E7</v>
      </c>
      <c r="D114" s="14" t="s">
        <v>972</v>
      </c>
      <c r="E114" s="14" t="s">
        <v>917</v>
      </c>
      <c r="F114" s="14" t="s">
        <v>567</v>
      </c>
    </row>
    <row r="115" spans="1:6">
      <c r="A115" s="7">
        <v>113</v>
      </c>
      <c r="B115" s="7">
        <v>113</v>
      </c>
      <c r="C115" t="str">
        <f>VLOOKUP(B115,_Pitch!$A$2:$B$129,2,FALSE)</f>
        <v>F7</v>
      </c>
      <c r="D115" s="14" t="s">
        <v>421</v>
      </c>
      <c r="E115" s="14" t="s">
        <v>175</v>
      </c>
      <c r="F115" s="14" t="s">
        <v>290</v>
      </c>
    </row>
    <row r="116" spans="1:6">
      <c r="A116" s="7">
        <v>114</v>
      </c>
      <c r="B116" s="7">
        <v>114</v>
      </c>
      <c r="C116" t="str">
        <f>VLOOKUP(B116,_Pitch!$A$2:$B$129,2,FALSE)</f>
        <v>F#7</v>
      </c>
      <c r="D116" s="14" t="s">
        <v>443</v>
      </c>
      <c r="E116" s="14" t="s">
        <v>181</v>
      </c>
      <c r="F116" s="14" t="s">
        <v>290</v>
      </c>
    </row>
    <row r="117" spans="1:6">
      <c r="A117" s="7">
        <v>115</v>
      </c>
      <c r="B117" s="7">
        <v>115</v>
      </c>
      <c r="C117" t="str">
        <f>VLOOKUP(B117,_Pitch!$A$2:$B$129,2,FALSE)</f>
        <v>G7</v>
      </c>
      <c r="D117" s="14" t="s">
        <v>412</v>
      </c>
      <c r="E117" s="14" t="s">
        <v>182</v>
      </c>
      <c r="F117" s="14" t="s">
        <v>290</v>
      </c>
    </row>
    <row r="118" spans="1:6">
      <c r="A118" s="7">
        <v>116</v>
      </c>
      <c r="B118" s="7">
        <v>116</v>
      </c>
      <c r="C118" t="str">
        <f>VLOOKUP(B118,_Pitch!$A$2:$B$129,2,FALSE)</f>
        <v>G#7</v>
      </c>
      <c r="D118" s="14" t="s">
        <v>442</v>
      </c>
      <c r="E118" s="14" t="s">
        <v>179</v>
      </c>
      <c r="F118" s="14"/>
    </row>
    <row r="119" spans="1:6">
      <c r="A119" s="7">
        <v>117</v>
      </c>
      <c r="B119" s="7">
        <v>117</v>
      </c>
      <c r="C119" t="str">
        <f>VLOOKUP(B119,_Pitch!$A$2:$B$129,2,FALSE)</f>
        <v>A7</v>
      </c>
      <c r="D119" s="14" t="s">
        <v>444</v>
      </c>
      <c r="E119" s="14" t="s">
        <v>180</v>
      </c>
      <c r="F119" s="14" t="s">
        <v>290</v>
      </c>
    </row>
    <row r="120" spans="1:6">
      <c r="A120" s="7">
        <v>118</v>
      </c>
      <c r="B120" s="7">
        <v>118</v>
      </c>
      <c r="C120" t="str">
        <f>VLOOKUP(B120,_Pitch!$A$2:$B$129,2,FALSE)</f>
        <v>A#7</v>
      </c>
      <c r="D120" s="14" t="s">
        <v>459</v>
      </c>
      <c r="E120" s="14" t="s">
        <v>183</v>
      </c>
      <c r="F120" s="14"/>
    </row>
    <row r="121" spans="1:6">
      <c r="A121" s="7">
        <v>119</v>
      </c>
      <c r="B121" s="7">
        <v>119</v>
      </c>
      <c r="C121" t="str">
        <f>VLOOKUP(B121,_Pitch!$A$2:$B$129,2,FALSE)</f>
        <v>B7</v>
      </c>
      <c r="D121" s="14" t="s">
        <v>155</v>
      </c>
      <c r="E121" s="14" t="s">
        <v>155</v>
      </c>
      <c r="F121" s="14" t="s">
        <v>567</v>
      </c>
    </row>
    <row r="122" spans="1:6">
      <c r="A122" s="7">
        <v>120</v>
      </c>
      <c r="B122" s="7">
        <v>120</v>
      </c>
      <c r="C122" t="str">
        <f>VLOOKUP(B122,_Pitch!$A$2:$B$129,2,FALSE)</f>
        <v>C8</v>
      </c>
      <c r="D122" s="14" t="s">
        <v>170</v>
      </c>
      <c r="E122" s="14" t="s">
        <v>170</v>
      </c>
      <c r="F122" s="14" t="s">
        <v>567</v>
      </c>
    </row>
    <row r="123" spans="1:6">
      <c r="A123" s="7">
        <v>121</v>
      </c>
      <c r="B123" s="7">
        <v>121</v>
      </c>
      <c r="C123" t="str">
        <f>VLOOKUP(B123,_Pitch!$A$2:$B$129,2,FALSE)</f>
        <v>C#8</v>
      </c>
      <c r="D123" s="14" t="s">
        <v>171</v>
      </c>
      <c r="E123" s="14" t="s">
        <v>171</v>
      </c>
      <c r="F123" s="14" t="s">
        <v>567</v>
      </c>
    </row>
    <row r="124" spans="1:6">
      <c r="A124" s="7">
        <v>122</v>
      </c>
      <c r="B124" s="7">
        <v>122</v>
      </c>
      <c r="C124" t="str">
        <f>VLOOKUP(B124,_Pitch!$A$2:$B$129,2,FALSE)</f>
        <v>D8</v>
      </c>
      <c r="D124" s="14" t="s">
        <v>172</v>
      </c>
      <c r="E124" s="14" t="s">
        <v>172</v>
      </c>
      <c r="F124" s="14" t="s">
        <v>567</v>
      </c>
    </row>
    <row r="125" spans="1:6">
      <c r="A125" s="7">
        <v>123</v>
      </c>
      <c r="B125" s="7">
        <v>123</v>
      </c>
      <c r="C125" t="str">
        <f>VLOOKUP(B125,_Pitch!$A$2:$B$129,2,FALSE)</f>
        <v>D#8</v>
      </c>
      <c r="D125" s="14" t="s">
        <v>173</v>
      </c>
      <c r="E125" s="14" t="s">
        <v>173</v>
      </c>
      <c r="F125" s="14" t="s">
        <v>567</v>
      </c>
    </row>
    <row r="126" spans="1:6">
      <c r="A126" s="7">
        <v>124</v>
      </c>
      <c r="B126" s="7">
        <v>124</v>
      </c>
      <c r="C126" t="str">
        <f>VLOOKUP(B126,_Pitch!$A$2:$B$129,2,FALSE)</f>
        <v>E8</v>
      </c>
      <c r="D126" s="14" t="s">
        <v>174</v>
      </c>
      <c r="E126" s="14" t="s">
        <v>174</v>
      </c>
      <c r="F126" s="14" t="s">
        <v>567</v>
      </c>
    </row>
    <row r="127" spans="1:6">
      <c r="A127" s="7">
        <v>125</v>
      </c>
      <c r="B127" s="7">
        <v>125</v>
      </c>
      <c r="C127" t="str">
        <f>VLOOKUP(B127,_Pitch!$A$2:$B$129,2,FALSE)</f>
        <v>F8</v>
      </c>
      <c r="D127" s="14" t="s">
        <v>138</v>
      </c>
      <c r="E127" s="14" t="s">
        <v>138</v>
      </c>
      <c r="F127" s="14"/>
    </row>
    <row r="128" spans="1:6">
      <c r="A128" s="7">
        <v>126</v>
      </c>
      <c r="B128" s="7">
        <v>126</v>
      </c>
      <c r="C128" t="str">
        <f>VLOOKUP(B128,_Pitch!$A$2:$B$129,2,FALSE)</f>
        <v>F#8</v>
      </c>
      <c r="D128" s="14" t="s">
        <v>668</v>
      </c>
      <c r="E128" s="14"/>
      <c r="F128" s="14"/>
    </row>
    <row r="129" spans="1:6">
      <c r="A129" s="7">
        <v>127</v>
      </c>
      <c r="B129" s="7">
        <v>127</v>
      </c>
      <c r="C129" t="str">
        <f>VLOOKUP(B129,_Pitch!$A$2:$B$129,2,FALSE)</f>
        <v>G8</v>
      </c>
      <c r="D129" s="14" t="s">
        <v>669</v>
      </c>
      <c r="E129" s="14"/>
      <c r="F129" s="14"/>
    </row>
  </sheetData>
  <autoFilter ref="A1:G129" xr:uid="{811A6EF0-5D40-452E-A514-CB0669F5CE93}"/>
  <phoneticPr fontId="1"/>
  <dataValidations count="1">
    <dataValidation type="list" allowBlank="1" showInputMessage="1" showErrorMessage="1" sqref="F2:F129" xr:uid="{7655E29C-79F2-48C8-AB4F-9B53DA761CB9}">
      <formula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B33ACB-AC90-480E-8F42-E00D55CCC801}">
          <x14:formula1>
            <xm:f>_Articulation!$B$2:B$158</xm:f>
          </x14:formula1>
          <xm:sqref>E2:E129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18B8D-EBDE-4D1F-BC8A-E90EAF1B9F57}">
  <sheetPr codeName="Sheet13"/>
  <dimension ref="A1:G129"/>
  <sheetViews>
    <sheetView workbookViewId="0">
      <pane ySplit="1" topLeftCell="A2" activePane="bottomLeft" state="frozen"/>
      <selection activeCell="D14" sqref="D14"/>
      <selection pane="bottomLeft" activeCell="A2" sqref="A2"/>
    </sheetView>
  </sheetViews>
  <sheetFormatPr defaultRowHeight="13.5"/>
  <cols>
    <col min="1" max="1" width="4.5" style="7" bestFit="1" customWidth="1"/>
    <col min="2" max="2" width="4.5" bestFit="1" customWidth="1"/>
    <col min="3" max="3" width="5.5" bestFit="1" customWidth="1"/>
    <col min="4" max="4" width="45.625" customWidth="1"/>
    <col min="5" max="5" width="28.25" customWidth="1"/>
    <col min="6" max="6" width="10.25" customWidth="1"/>
  </cols>
  <sheetData>
    <row r="1" spans="1:7" s="6" customFormat="1" ht="141.75" customHeight="1">
      <c r="A1" s="15" t="s">
        <v>130</v>
      </c>
      <c r="B1" s="15" t="s">
        <v>1105</v>
      </c>
      <c r="C1" s="15" t="s">
        <v>1106</v>
      </c>
      <c r="D1" s="16" t="s">
        <v>131</v>
      </c>
      <c r="E1" s="23" t="s">
        <v>132</v>
      </c>
      <c r="F1" s="17" t="s">
        <v>664</v>
      </c>
      <c r="G1" s="15" t="s">
        <v>696</v>
      </c>
    </row>
    <row r="2" spans="1:7">
      <c r="A2" s="7">
        <v>0</v>
      </c>
      <c r="B2" s="7">
        <v>0</v>
      </c>
      <c r="C2" t="str">
        <f>VLOOKUP(B2,_Pitch!$A$2:$B$129,2,FALSE)</f>
        <v>C-2</v>
      </c>
      <c r="D2" s="14" t="s">
        <v>455</v>
      </c>
      <c r="E2" s="14"/>
      <c r="F2" s="14"/>
    </row>
    <row r="3" spans="1:7">
      <c r="A3" s="7">
        <v>1</v>
      </c>
      <c r="B3" s="7">
        <v>1</v>
      </c>
      <c r="C3" t="str">
        <f>VLOOKUP(B3,_Pitch!$A$2:$B$129,2,FALSE)</f>
        <v>C#-2</v>
      </c>
      <c r="D3" s="14" t="s">
        <v>455</v>
      </c>
      <c r="E3" s="14"/>
      <c r="F3" s="14"/>
    </row>
    <row r="4" spans="1:7">
      <c r="A4" s="7">
        <v>2</v>
      </c>
      <c r="B4" s="7">
        <v>2</v>
      </c>
      <c r="C4" t="str">
        <f>VLOOKUP(B4,_Pitch!$A$2:$B$129,2,FALSE)</f>
        <v>D-2</v>
      </c>
      <c r="D4" s="14" t="s">
        <v>455</v>
      </c>
      <c r="E4" s="14" t="s">
        <v>455</v>
      </c>
      <c r="F4" s="14"/>
    </row>
    <row r="5" spans="1:7">
      <c r="A5" s="7">
        <v>3</v>
      </c>
      <c r="B5" s="7">
        <v>3</v>
      </c>
      <c r="C5" t="str">
        <f>VLOOKUP(B5,_Pitch!$A$2:$B$129,2,FALSE)</f>
        <v>D#-2</v>
      </c>
      <c r="D5" s="14" t="s">
        <v>455</v>
      </c>
      <c r="E5" s="14" t="s">
        <v>455</v>
      </c>
      <c r="F5" s="14"/>
    </row>
    <row r="6" spans="1:7">
      <c r="A6" s="7">
        <v>4</v>
      </c>
      <c r="B6" s="7">
        <v>4</v>
      </c>
      <c r="C6" t="str">
        <f>VLOOKUP(B6,_Pitch!$A$2:$B$129,2,FALSE)</f>
        <v>E-2</v>
      </c>
      <c r="D6" s="14" t="s">
        <v>455</v>
      </c>
      <c r="E6" s="14" t="s">
        <v>455</v>
      </c>
      <c r="F6" s="14"/>
    </row>
    <row r="7" spans="1:7">
      <c r="A7" s="7">
        <v>5</v>
      </c>
      <c r="B7" s="7">
        <v>5</v>
      </c>
      <c r="C7" t="str">
        <f>VLOOKUP(B7,_Pitch!$A$2:$B$129,2,FALSE)</f>
        <v>F-2</v>
      </c>
      <c r="D7" s="14" t="s">
        <v>455</v>
      </c>
      <c r="E7" s="14" t="s">
        <v>455</v>
      </c>
      <c r="F7" s="14"/>
    </row>
    <row r="8" spans="1:7">
      <c r="A8" s="7">
        <v>6</v>
      </c>
      <c r="B8" s="7">
        <v>6</v>
      </c>
      <c r="C8" t="str">
        <f>VLOOKUP(B8,_Pitch!$A$2:$B$129,2,FALSE)</f>
        <v>F#-2</v>
      </c>
      <c r="D8" s="14" t="s">
        <v>400</v>
      </c>
      <c r="E8" s="14"/>
      <c r="F8" s="14"/>
    </row>
    <row r="9" spans="1:7">
      <c r="A9" s="7">
        <v>7</v>
      </c>
      <c r="B9" s="7">
        <v>7</v>
      </c>
      <c r="C9" t="str">
        <f>VLOOKUP(B9,_Pitch!$A$2:$B$129,2,FALSE)</f>
        <v>G-2</v>
      </c>
      <c r="D9" s="14" t="s">
        <v>401</v>
      </c>
      <c r="E9" s="14"/>
      <c r="F9" s="14"/>
    </row>
    <row r="10" spans="1:7">
      <c r="A10" s="7">
        <v>8</v>
      </c>
      <c r="B10" s="7">
        <v>8</v>
      </c>
      <c r="C10" t="str">
        <f>VLOOKUP(B10,_Pitch!$A$2:$B$129,2,FALSE)</f>
        <v>G#-2</v>
      </c>
      <c r="D10" s="14" t="s">
        <v>402</v>
      </c>
      <c r="E10" s="14"/>
      <c r="F10" s="14"/>
    </row>
    <row r="11" spans="1:7">
      <c r="A11" s="7">
        <v>9</v>
      </c>
      <c r="B11" s="7">
        <v>9</v>
      </c>
      <c r="C11" t="str">
        <f>VLOOKUP(B11,_Pitch!$A$2:$B$129,2,FALSE)</f>
        <v>A-2</v>
      </c>
      <c r="D11" s="14" t="s">
        <v>457</v>
      </c>
      <c r="E11" s="14"/>
      <c r="F11" s="14"/>
    </row>
    <row r="12" spans="1:7">
      <c r="A12" s="7">
        <v>10</v>
      </c>
      <c r="B12" s="7">
        <v>10</v>
      </c>
      <c r="C12" t="str">
        <f>VLOOKUP(B12,_Pitch!$A$2:$B$129,2,FALSE)</f>
        <v>A#-2</v>
      </c>
      <c r="D12" s="14" t="s">
        <v>1068</v>
      </c>
      <c r="E12" s="14" t="s">
        <v>1068</v>
      </c>
      <c r="F12" s="14" t="s">
        <v>290</v>
      </c>
    </row>
    <row r="13" spans="1:7">
      <c r="A13" s="7">
        <v>11</v>
      </c>
      <c r="B13" s="7">
        <v>11</v>
      </c>
      <c r="C13" t="str">
        <f>VLOOKUP(B13,_Pitch!$A$2:$B$129,2,FALSE)</f>
        <v>B-2</v>
      </c>
      <c r="D13" s="14" t="s">
        <v>153</v>
      </c>
      <c r="E13" s="14" t="s">
        <v>153</v>
      </c>
      <c r="F13" s="14" t="s">
        <v>290</v>
      </c>
    </row>
    <row r="14" spans="1:7">
      <c r="A14" s="7">
        <v>12</v>
      </c>
      <c r="B14" s="7">
        <v>12</v>
      </c>
      <c r="C14" t="str">
        <f>VLOOKUP(B14,_Pitch!$A$2:$B$129,2,FALSE)</f>
        <v>C-1</v>
      </c>
      <c r="D14" s="14" t="s">
        <v>164</v>
      </c>
      <c r="E14" s="14" t="s">
        <v>164</v>
      </c>
      <c r="F14" s="14"/>
    </row>
    <row r="15" spans="1:7">
      <c r="A15" s="7">
        <v>13</v>
      </c>
      <c r="B15" s="7">
        <v>13</v>
      </c>
      <c r="C15" t="str">
        <f>VLOOKUP(B15,_Pitch!$A$2:$B$129,2,FALSE)</f>
        <v>C#-1</v>
      </c>
      <c r="D15" s="14" t="s">
        <v>165</v>
      </c>
      <c r="E15" s="14" t="s">
        <v>165</v>
      </c>
      <c r="F15" s="14"/>
    </row>
    <row r="16" spans="1:7">
      <c r="A16" s="7">
        <v>14</v>
      </c>
      <c r="B16" s="7">
        <v>14</v>
      </c>
      <c r="C16" t="str">
        <f>VLOOKUP(B16,_Pitch!$A$2:$B$129,2,FALSE)</f>
        <v>D-1</v>
      </c>
      <c r="D16" s="14" t="s">
        <v>166</v>
      </c>
      <c r="E16" s="14" t="s">
        <v>166</v>
      </c>
      <c r="F16" s="14"/>
    </row>
    <row r="17" spans="1:6">
      <c r="A17" s="7">
        <v>15</v>
      </c>
      <c r="B17" s="7">
        <v>15</v>
      </c>
      <c r="C17" t="str">
        <f>VLOOKUP(B17,_Pitch!$A$2:$B$129,2,FALSE)</f>
        <v>D#-1</v>
      </c>
      <c r="D17" s="14" t="s">
        <v>167</v>
      </c>
      <c r="E17" s="14" t="s">
        <v>167</v>
      </c>
      <c r="F17" s="14"/>
    </row>
    <row r="18" spans="1:6">
      <c r="A18" s="7">
        <v>16</v>
      </c>
      <c r="B18" s="7">
        <v>16</v>
      </c>
      <c r="C18" t="str">
        <f>VLOOKUP(B18,_Pitch!$A$2:$B$129,2,FALSE)</f>
        <v>E-1</v>
      </c>
      <c r="D18" s="14" t="s">
        <v>168</v>
      </c>
      <c r="E18" s="14" t="s">
        <v>168</v>
      </c>
      <c r="F18" s="14"/>
    </row>
    <row r="19" spans="1:6">
      <c r="A19" s="7">
        <v>17</v>
      </c>
      <c r="B19" s="7">
        <v>17</v>
      </c>
      <c r="C19" t="str">
        <f>VLOOKUP(B19,_Pitch!$A$2:$B$129,2,FALSE)</f>
        <v>F-1</v>
      </c>
      <c r="D19" s="14" t="s">
        <v>169</v>
      </c>
      <c r="E19" s="14" t="s">
        <v>169</v>
      </c>
      <c r="F19" s="14" t="s">
        <v>567</v>
      </c>
    </row>
    <row r="20" spans="1:6">
      <c r="A20" s="7">
        <v>18</v>
      </c>
      <c r="B20" s="7">
        <v>18</v>
      </c>
      <c r="C20" t="str">
        <f>VLOOKUP(B20,_Pitch!$A$2:$B$129,2,FALSE)</f>
        <v>F#-1</v>
      </c>
      <c r="D20" s="14" t="s">
        <v>401</v>
      </c>
      <c r="E20" s="14"/>
      <c r="F20" s="14"/>
    </row>
    <row r="21" spans="1:6">
      <c r="A21" s="7">
        <v>19</v>
      </c>
      <c r="B21" s="7">
        <v>19</v>
      </c>
      <c r="C21" t="str">
        <f>VLOOKUP(B21,_Pitch!$A$2:$B$129,2,FALSE)</f>
        <v>G-1</v>
      </c>
      <c r="D21" s="14" t="s">
        <v>402</v>
      </c>
      <c r="E21" s="14"/>
      <c r="F21" s="14"/>
    </row>
    <row r="22" spans="1:6">
      <c r="A22" s="7">
        <v>20</v>
      </c>
      <c r="B22" s="7">
        <v>20</v>
      </c>
      <c r="C22" t="str">
        <f>VLOOKUP(B22,_Pitch!$A$2:$B$129,2,FALSE)</f>
        <v>G#-1</v>
      </c>
      <c r="D22" s="14" t="s">
        <v>401</v>
      </c>
      <c r="E22" s="14"/>
      <c r="F22" s="14"/>
    </row>
    <row r="23" spans="1:6">
      <c r="A23" s="7">
        <v>21</v>
      </c>
      <c r="B23" s="7">
        <v>21</v>
      </c>
      <c r="C23" t="str">
        <f>VLOOKUP(B23,_Pitch!$A$2:$B$129,2,FALSE)</f>
        <v>A-1</v>
      </c>
      <c r="D23" s="14" t="s">
        <v>1068</v>
      </c>
      <c r="E23" s="14" t="s">
        <v>1068</v>
      </c>
      <c r="F23" s="14" t="s">
        <v>290</v>
      </c>
    </row>
    <row r="24" spans="1:6">
      <c r="A24" s="7">
        <v>22</v>
      </c>
      <c r="B24" s="7">
        <v>22</v>
      </c>
      <c r="C24" t="str">
        <f>VLOOKUP(B24,_Pitch!$A$2:$B$129,2,FALSE)</f>
        <v>A#-1</v>
      </c>
      <c r="D24" s="14" t="s">
        <v>149</v>
      </c>
      <c r="E24" s="14" t="s">
        <v>149</v>
      </c>
      <c r="F24" s="14"/>
    </row>
    <row r="25" spans="1:6">
      <c r="A25" s="7">
        <v>23</v>
      </c>
      <c r="B25" s="7">
        <v>23</v>
      </c>
      <c r="C25" t="str">
        <f>VLOOKUP(B25,_Pitch!$A$2:$B$129,2,FALSE)</f>
        <v>B-1</v>
      </c>
      <c r="D25" s="14" t="s">
        <v>403</v>
      </c>
      <c r="E25" s="14" t="s">
        <v>403</v>
      </c>
      <c r="F25" s="14"/>
    </row>
    <row r="26" spans="1:6">
      <c r="A26" s="7">
        <v>24</v>
      </c>
      <c r="B26" s="7">
        <v>24</v>
      </c>
      <c r="C26" t="str">
        <f>VLOOKUP(B26,_Pitch!$A$2:$B$129,2,FALSE)</f>
        <v>C0</v>
      </c>
      <c r="D26" s="14" t="s">
        <v>159</v>
      </c>
      <c r="E26" s="14" t="s">
        <v>159</v>
      </c>
      <c r="F26" s="14"/>
    </row>
    <row r="27" spans="1:6">
      <c r="A27" s="7">
        <v>25</v>
      </c>
      <c r="B27" s="7">
        <v>25</v>
      </c>
      <c r="C27" t="str">
        <f>VLOOKUP(B27,_Pitch!$A$2:$B$129,2,FALSE)</f>
        <v>C#0</v>
      </c>
      <c r="D27" s="14" t="s">
        <v>160</v>
      </c>
      <c r="E27" s="14" t="s">
        <v>160</v>
      </c>
      <c r="F27" s="14" t="s">
        <v>290</v>
      </c>
    </row>
    <row r="28" spans="1:6">
      <c r="A28" s="7">
        <v>26</v>
      </c>
      <c r="B28" s="7">
        <v>26</v>
      </c>
      <c r="C28" t="str">
        <f>VLOOKUP(B28,_Pitch!$A$2:$B$129,2,FALSE)</f>
        <v>D0</v>
      </c>
      <c r="D28" s="14" t="s">
        <v>161</v>
      </c>
      <c r="E28" s="14" t="s">
        <v>161</v>
      </c>
      <c r="F28" s="14"/>
    </row>
    <row r="29" spans="1:6">
      <c r="A29" s="7">
        <v>27</v>
      </c>
      <c r="B29" s="7">
        <v>27</v>
      </c>
      <c r="C29" t="str">
        <f>VLOOKUP(B29,_Pitch!$A$2:$B$129,2,FALSE)</f>
        <v>D#0</v>
      </c>
      <c r="D29" s="14" t="s">
        <v>423</v>
      </c>
      <c r="E29" s="14" t="s">
        <v>206</v>
      </c>
      <c r="F29" s="14"/>
    </row>
    <row r="30" spans="1:6">
      <c r="A30" s="7">
        <v>28</v>
      </c>
      <c r="B30" s="7">
        <v>28</v>
      </c>
      <c r="C30" t="str">
        <f>VLOOKUP(B30,_Pitch!$A$2:$B$129,2,FALSE)</f>
        <v>E0</v>
      </c>
      <c r="D30" s="14" t="s">
        <v>463</v>
      </c>
      <c r="E30" s="14" t="s">
        <v>209</v>
      </c>
      <c r="F30" s="14" t="s">
        <v>567</v>
      </c>
    </row>
    <row r="31" spans="1:6">
      <c r="A31" s="7">
        <v>29</v>
      </c>
      <c r="B31" s="7">
        <v>29</v>
      </c>
      <c r="C31" t="str">
        <f>VLOOKUP(B31,_Pitch!$A$2:$B$129,2,FALSE)</f>
        <v>F0</v>
      </c>
      <c r="D31" s="14" t="s">
        <v>460</v>
      </c>
      <c r="E31" s="14" t="s">
        <v>178</v>
      </c>
      <c r="F31" s="14"/>
    </row>
    <row r="32" spans="1:6">
      <c r="A32" s="7">
        <v>30</v>
      </c>
      <c r="B32" s="7">
        <v>30</v>
      </c>
      <c r="C32" t="str">
        <f>VLOOKUP(B32,_Pitch!$A$2:$B$129,2,FALSE)</f>
        <v>F#0</v>
      </c>
      <c r="D32" s="14" t="s">
        <v>444</v>
      </c>
      <c r="E32" s="14" t="s">
        <v>180</v>
      </c>
      <c r="F32" s="14"/>
    </row>
    <row r="33" spans="1:6">
      <c r="A33" s="7">
        <v>31</v>
      </c>
      <c r="B33" s="7">
        <v>31</v>
      </c>
      <c r="C33" t="str">
        <f>VLOOKUP(B33,_Pitch!$A$2:$B$129,2,FALSE)</f>
        <v>G0</v>
      </c>
      <c r="D33" s="14" t="s">
        <v>420</v>
      </c>
      <c r="E33" s="14" t="s">
        <v>212</v>
      </c>
      <c r="F33" s="14"/>
    </row>
    <row r="34" spans="1:6">
      <c r="A34" s="7">
        <v>32</v>
      </c>
      <c r="B34" s="7">
        <v>32</v>
      </c>
      <c r="C34" t="str">
        <f>VLOOKUP(B34,_Pitch!$A$2:$B$129,2,FALSE)</f>
        <v>G#0</v>
      </c>
      <c r="D34" s="14" t="s">
        <v>464</v>
      </c>
      <c r="E34" s="14" t="s">
        <v>215</v>
      </c>
      <c r="F34" s="14" t="s">
        <v>567</v>
      </c>
    </row>
    <row r="35" spans="1:6">
      <c r="A35" s="7">
        <v>33</v>
      </c>
      <c r="B35" s="7">
        <v>33</v>
      </c>
      <c r="C35" t="str">
        <f>VLOOKUP(B35,_Pitch!$A$2:$B$129,2,FALSE)</f>
        <v>A0</v>
      </c>
      <c r="D35" s="14" t="s">
        <v>139</v>
      </c>
      <c r="E35" s="14" t="s">
        <v>139</v>
      </c>
      <c r="F35" s="14"/>
    </row>
    <row r="36" spans="1:6">
      <c r="A36" s="7">
        <v>34</v>
      </c>
      <c r="B36" s="7">
        <v>34</v>
      </c>
      <c r="C36" t="str">
        <f>VLOOKUP(B36,_Pitch!$A$2:$B$129,2,FALSE)</f>
        <v>A#0</v>
      </c>
      <c r="D36" s="14" t="s">
        <v>133</v>
      </c>
      <c r="E36" s="14" t="s">
        <v>133</v>
      </c>
      <c r="F36" s="14" t="s">
        <v>290</v>
      </c>
    </row>
    <row r="37" spans="1:6">
      <c r="A37" s="7">
        <v>35</v>
      </c>
      <c r="B37" s="7">
        <v>35</v>
      </c>
      <c r="C37" t="str">
        <f>VLOOKUP(B37,_Pitch!$A$2:$B$129,2,FALSE)</f>
        <v>B0</v>
      </c>
      <c r="D37" s="14" t="s">
        <v>135</v>
      </c>
      <c r="E37" s="14" t="s">
        <v>135</v>
      </c>
      <c r="F37" s="14"/>
    </row>
    <row r="38" spans="1:6">
      <c r="A38" s="7">
        <v>36</v>
      </c>
      <c r="B38" s="7">
        <v>36</v>
      </c>
      <c r="C38" t="str">
        <f>VLOOKUP(B38,_Pitch!$A$2:$B$129,2,FALSE)</f>
        <v>C1</v>
      </c>
      <c r="D38" s="14" t="s">
        <v>133</v>
      </c>
      <c r="E38" s="14" t="s">
        <v>133</v>
      </c>
      <c r="F38" s="14"/>
    </row>
    <row r="39" spans="1:6">
      <c r="A39" s="7">
        <v>37</v>
      </c>
      <c r="B39" s="7">
        <v>37</v>
      </c>
      <c r="C39" t="str">
        <f>VLOOKUP(B39,_Pitch!$A$2:$B$129,2,FALSE)</f>
        <v>C#1</v>
      </c>
      <c r="D39" s="14" t="s">
        <v>145</v>
      </c>
      <c r="E39" s="14" t="s">
        <v>145</v>
      </c>
      <c r="F39" s="14"/>
    </row>
    <row r="40" spans="1:6">
      <c r="A40" s="7">
        <v>38</v>
      </c>
      <c r="B40" s="7">
        <v>38</v>
      </c>
      <c r="C40" t="str">
        <f>VLOOKUP(B40,_Pitch!$A$2:$B$129,2,FALSE)</f>
        <v>D1</v>
      </c>
      <c r="D40" s="14" t="s">
        <v>136</v>
      </c>
      <c r="E40" s="14" t="s">
        <v>561</v>
      </c>
      <c r="F40" s="14"/>
    </row>
    <row r="41" spans="1:6">
      <c r="A41" s="7">
        <v>39</v>
      </c>
      <c r="B41" s="7">
        <v>39</v>
      </c>
      <c r="C41" t="str">
        <f>VLOOKUP(B41,_Pitch!$A$2:$B$129,2,FALSE)</f>
        <v>D#1</v>
      </c>
      <c r="D41" s="14" t="s">
        <v>141</v>
      </c>
      <c r="E41" s="14" t="s">
        <v>565</v>
      </c>
      <c r="F41" s="14" t="s">
        <v>567</v>
      </c>
    </row>
    <row r="42" spans="1:6">
      <c r="A42" s="7">
        <v>40</v>
      </c>
      <c r="B42" s="7">
        <v>40</v>
      </c>
      <c r="C42" t="str">
        <f>VLOOKUP(B42,_Pitch!$A$2:$B$129,2,FALSE)</f>
        <v>E1</v>
      </c>
      <c r="D42" s="14" t="s">
        <v>234</v>
      </c>
      <c r="E42" s="14" t="s">
        <v>1077</v>
      </c>
      <c r="F42" s="14"/>
    </row>
    <row r="43" spans="1:6">
      <c r="A43" s="7">
        <v>41</v>
      </c>
      <c r="B43" s="7">
        <v>41</v>
      </c>
      <c r="C43" t="str">
        <f>VLOOKUP(B43,_Pitch!$A$2:$B$129,2,FALSE)</f>
        <v>F1</v>
      </c>
      <c r="D43" s="14" t="s">
        <v>427</v>
      </c>
      <c r="E43" s="14" t="s">
        <v>558</v>
      </c>
      <c r="F43" s="14" t="s">
        <v>290</v>
      </c>
    </row>
    <row r="44" spans="1:6">
      <c r="A44" s="7">
        <v>42</v>
      </c>
      <c r="B44" s="7">
        <v>42</v>
      </c>
      <c r="C44" t="str">
        <f>VLOOKUP(B44,_Pitch!$A$2:$B$129,2,FALSE)</f>
        <v>F#1</v>
      </c>
      <c r="D44" s="14" t="s">
        <v>153</v>
      </c>
      <c r="E44" s="14" t="s">
        <v>153</v>
      </c>
      <c r="F44" s="14"/>
    </row>
    <row r="45" spans="1:6">
      <c r="A45" s="7">
        <v>43</v>
      </c>
      <c r="B45" s="7">
        <v>43</v>
      </c>
      <c r="C45" t="str">
        <f>VLOOKUP(B45,_Pitch!$A$2:$B$129,2,FALSE)</f>
        <v>G1</v>
      </c>
      <c r="D45" s="14" t="s">
        <v>427</v>
      </c>
      <c r="E45" s="14" t="s">
        <v>558</v>
      </c>
      <c r="F45" s="14"/>
    </row>
    <row r="46" spans="1:6">
      <c r="A46" s="7">
        <v>44</v>
      </c>
      <c r="B46" s="7">
        <v>44</v>
      </c>
      <c r="C46" t="str">
        <f>VLOOKUP(B46,_Pitch!$A$2:$B$129,2,FALSE)</f>
        <v>G#1</v>
      </c>
      <c r="D46" s="14" t="s">
        <v>1068</v>
      </c>
      <c r="E46" s="14" t="s">
        <v>1068</v>
      </c>
      <c r="F46" s="14"/>
    </row>
    <row r="47" spans="1:6">
      <c r="A47" s="7">
        <v>45</v>
      </c>
      <c r="B47" s="7">
        <v>45</v>
      </c>
      <c r="C47" t="str">
        <f>VLOOKUP(B47,_Pitch!$A$2:$B$129,2,FALSE)</f>
        <v>A1</v>
      </c>
      <c r="D47" s="14" t="s">
        <v>1005</v>
      </c>
      <c r="E47" s="14" t="s">
        <v>559</v>
      </c>
      <c r="F47" s="14" t="s">
        <v>290</v>
      </c>
    </row>
    <row r="48" spans="1:6">
      <c r="A48" s="7">
        <v>46</v>
      </c>
      <c r="B48" s="7">
        <v>46</v>
      </c>
      <c r="C48" t="str">
        <f>VLOOKUP(B48,_Pitch!$A$2:$B$129,2,FALSE)</f>
        <v>A#1</v>
      </c>
      <c r="D48" s="14" t="s">
        <v>160</v>
      </c>
      <c r="E48" s="14" t="s">
        <v>160</v>
      </c>
      <c r="F48" s="14"/>
    </row>
    <row r="49" spans="1:6">
      <c r="A49" s="7">
        <v>47</v>
      </c>
      <c r="B49" s="7">
        <v>47</v>
      </c>
      <c r="C49" t="str">
        <f>VLOOKUP(B49,_Pitch!$A$2:$B$129,2,FALSE)</f>
        <v>B1</v>
      </c>
      <c r="D49" s="14" t="s">
        <v>1005</v>
      </c>
      <c r="E49" s="14" t="s">
        <v>559</v>
      </c>
      <c r="F49" s="14"/>
    </row>
    <row r="50" spans="1:6">
      <c r="A50" s="7">
        <v>48</v>
      </c>
      <c r="B50" s="7">
        <v>48</v>
      </c>
      <c r="C50" t="str">
        <f>VLOOKUP(B50,_Pitch!$A$2:$B$129,2,FALSE)</f>
        <v>C2</v>
      </c>
      <c r="D50" s="14" t="s">
        <v>1000</v>
      </c>
      <c r="E50" s="14" t="s">
        <v>560</v>
      </c>
      <c r="F50" s="14"/>
    </row>
    <row r="51" spans="1:6">
      <c r="A51" s="7">
        <v>49</v>
      </c>
      <c r="B51" s="7">
        <v>49</v>
      </c>
      <c r="C51" t="str">
        <f>VLOOKUP(B51,_Pitch!$A$2:$B$129,2,FALSE)</f>
        <v>C#2</v>
      </c>
      <c r="D51" s="14" t="s">
        <v>937</v>
      </c>
      <c r="E51" s="14" t="s">
        <v>568</v>
      </c>
      <c r="F51" s="14"/>
    </row>
    <row r="52" spans="1:6">
      <c r="A52" s="7">
        <v>50</v>
      </c>
      <c r="B52" s="7">
        <v>50</v>
      </c>
      <c r="C52" t="str">
        <f>VLOOKUP(B52,_Pitch!$A$2:$B$129,2,FALSE)</f>
        <v>D2</v>
      </c>
      <c r="D52" s="14" t="s">
        <v>413</v>
      </c>
      <c r="E52" s="14" t="s">
        <v>210</v>
      </c>
      <c r="F52" s="14"/>
    </row>
    <row r="53" spans="1:6">
      <c r="A53" s="7">
        <v>51</v>
      </c>
      <c r="B53" s="7">
        <v>51</v>
      </c>
      <c r="C53" t="str">
        <f>VLOOKUP(B53,_Pitch!$A$2:$B$129,2,FALSE)</f>
        <v>D#2</v>
      </c>
      <c r="D53" s="14" t="s">
        <v>461</v>
      </c>
      <c r="E53" s="14" t="s">
        <v>175</v>
      </c>
      <c r="F53" s="14"/>
    </row>
    <row r="54" spans="1:6">
      <c r="A54" s="7">
        <v>52</v>
      </c>
      <c r="B54" s="7">
        <v>52</v>
      </c>
      <c r="C54" t="str">
        <f>VLOOKUP(B54,_Pitch!$A$2:$B$129,2,FALSE)</f>
        <v>E2</v>
      </c>
      <c r="D54" s="14" t="s">
        <v>944</v>
      </c>
      <c r="E54" s="14" t="s">
        <v>569</v>
      </c>
      <c r="F54" s="14"/>
    </row>
    <row r="55" spans="1:6">
      <c r="A55" s="7">
        <v>53</v>
      </c>
      <c r="B55" s="7">
        <v>53</v>
      </c>
      <c r="C55" t="str">
        <f>VLOOKUP(B55,_Pitch!$A$2:$B$129,2,FALSE)</f>
        <v>F2</v>
      </c>
      <c r="D55" s="14" t="s">
        <v>443</v>
      </c>
      <c r="E55" s="14" t="s">
        <v>181</v>
      </c>
      <c r="F55" s="14"/>
    </row>
    <row r="56" spans="1:6">
      <c r="A56" s="7">
        <v>54</v>
      </c>
      <c r="B56" s="7">
        <v>54</v>
      </c>
      <c r="C56" t="str">
        <f>VLOOKUP(B56,_Pitch!$A$2:$B$129,2,FALSE)</f>
        <v>F#2</v>
      </c>
      <c r="D56" s="14" t="s">
        <v>408</v>
      </c>
      <c r="E56" s="14" t="s">
        <v>216</v>
      </c>
      <c r="F56" s="14" t="s">
        <v>290</v>
      </c>
    </row>
    <row r="57" spans="1:6">
      <c r="A57" s="7">
        <v>55</v>
      </c>
      <c r="B57" s="7">
        <v>55</v>
      </c>
      <c r="C57" t="str">
        <f>VLOOKUP(B57,_Pitch!$A$2:$B$129,2,FALSE)</f>
        <v>G2</v>
      </c>
      <c r="D57" s="14" t="s">
        <v>937</v>
      </c>
      <c r="E57" s="14" t="s">
        <v>568</v>
      </c>
      <c r="F57" s="14" t="s">
        <v>290</v>
      </c>
    </row>
    <row r="58" spans="1:6">
      <c r="A58" s="7">
        <v>56</v>
      </c>
      <c r="B58" s="7">
        <v>56</v>
      </c>
      <c r="C58" t="str">
        <f>VLOOKUP(B58,_Pitch!$A$2:$B$129,2,FALSE)</f>
        <v>G#2</v>
      </c>
      <c r="D58" s="14" t="s">
        <v>937</v>
      </c>
      <c r="E58" s="14" t="s">
        <v>568</v>
      </c>
      <c r="F58" s="14" t="s">
        <v>290</v>
      </c>
    </row>
    <row r="59" spans="1:6">
      <c r="A59" s="7">
        <v>57</v>
      </c>
      <c r="B59" s="7">
        <v>57</v>
      </c>
      <c r="C59" t="str">
        <f>VLOOKUP(B59,_Pitch!$A$2:$B$129,2,FALSE)</f>
        <v>A2</v>
      </c>
      <c r="D59" s="14" t="s">
        <v>944</v>
      </c>
      <c r="E59" s="14" t="s">
        <v>569</v>
      </c>
      <c r="F59" s="14" t="s">
        <v>290</v>
      </c>
    </row>
    <row r="60" spans="1:6">
      <c r="A60" s="7">
        <v>58</v>
      </c>
      <c r="B60" s="7">
        <v>58</v>
      </c>
      <c r="C60" t="str">
        <f>VLOOKUP(B60,_Pitch!$A$2:$B$129,2,FALSE)</f>
        <v>A#2</v>
      </c>
      <c r="D60" s="14" t="s">
        <v>408</v>
      </c>
      <c r="E60" s="14" t="s">
        <v>216</v>
      </c>
      <c r="F60" s="14"/>
    </row>
    <row r="61" spans="1:6">
      <c r="A61" s="7">
        <v>59</v>
      </c>
      <c r="B61" s="7">
        <v>59</v>
      </c>
      <c r="C61" t="str">
        <f>VLOOKUP(B61,_Pitch!$A$2:$B$129,2,FALSE)</f>
        <v>B2</v>
      </c>
      <c r="D61" s="14" t="s">
        <v>412</v>
      </c>
      <c r="E61" s="14" t="s">
        <v>182</v>
      </c>
      <c r="F61" s="14"/>
    </row>
    <row r="62" spans="1:6">
      <c r="A62" s="7">
        <v>60</v>
      </c>
      <c r="B62" s="7">
        <v>60</v>
      </c>
      <c r="C62" t="str">
        <f>VLOOKUP(B62,_Pitch!$A$2:$B$129,2,FALSE)</f>
        <v>C3</v>
      </c>
      <c r="D62" s="14" t="s">
        <v>162</v>
      </c>
      <c r="E62" s="14" t="s">
        <v>162</v>
      </c>
      <c r="F62" s="14"/>
    </row>
    <row r="63" spans="1:6">
      <c r="A63" s="7">
        <v>61</v>
      </c>
      <c r="B63" s="7">
        <v>61</v>
      </c>
      <c r="C63" t="str">
        <f>VLOOKUP(B63,_Pitch!$A$2:$B$129,2,FALSE)</f>
        <v>C#3</v>
      </c>
      <c r="D63" s="14" t="s">
        <v>153</v>
      </c>
      <c r="E63" s="14" t="s">
        <v>153</v>
      </c>
      <c r="F63" s="14" t="s">
        <v>290</v>
      </c>
    </row>
    <row r="64" spans="1:6">
      <c r="A64" s="7">
        <v>62</v>
      </c>
      <c r="B64" s="7">
        <v>62</v>
      </c>
      <c r="C64" t="str">
        <f>VLOOKUP(B64,_Pitch!$A$2:$B$129,2,FALSE)</f>
        <v>D3</v>
      </c>
      <c r="D64" s="14" t="s">
        <v>151</v>
      </c>
      <c r="E64" s="14" t="s">
        <v>151</v>
      </c>
      <c r="F64" s="14"/>
    </row>
    <row r="65" spans="1:6">
      <c r="A65" s="7">
        <v>63</v>
      </c>
      <c r="B65" s="7">
        <v>63</v>
      </c>
      <c r="C65" t="str">
        <f>VLOOKUP(B65,_Pitch!$A$2:$B$129,2,FALSE)</f>
        <v>D#3</v>
      </c>
      <c r="D65" s="14" t="s">
        <v>154</v>
      </c>
      <c r="E65" s="14" t="s">
        <v>154</v>
      </c>
      <c r="F65" s="14"/>
    </row>
    <row r="66" spans="1:6">
      <c r="A66" s="7">
        <v>64</v>
      </c>
      <c r="B66" s="7">
        <v>64</v>
      </c>
      <c r="C66" t="str">
        <f>VLOOKUP(B66,_Pitch!$A$2:$B$129,2,FALSE)</f>
        <v>E3</v>
      </c>
      <c r="D66" s="14" t="s">
        <v>156</v>
      </c>
      <c r="E66" s="14" t="s">
        <v>156</v>
      </c>
      <c r="F66" s="14"/>
    </row>
    <row r="67" spans="1:6">
      <c r="A67" s="7">
        <v>65</v>
      </c>
      <c r="B67" s="7">
        <v>65</v>
      </c>
      <c r="C67" t="str">
        <f>VLOOKUP(B67,_Pitch!$A$2:$B$129,2,FALSE)</f>
        <v>F3</v>
      </c>
      <c r="D67" s="14" t="s">
        <v>149</v>
      </c>
      <c r="E67" s="14" t="s">
        <v>152</v>
      </c>
      <c r="F67" s="14" t="s">
        <v>567</v>
      </c>
    </row>
    <row r="68" spans="1:6">
      <c r="A68" s="7">
        <v>66</v>
      </c>
      <c r="B68" s="7">
        <v>66</v>
      </c>
      <c r="C68" t="str">
        <f>VLOOKUP(B68,_Pitch!$A$2:$B$129,2,FALSE)</f>
        <v>F#3</v>
      </c>
      <c r="D68" s="14" t="s">
        <v>136</v>
      </c>
      <c r="E68" s="14" t="s">
        <v>561</v>
      </c>
      <c r="F68" s="14" t="s">
        <v>290</v>
      </c>
    </row>
    <row r="69" spans="1:6">
      <c r="A69" s="7">
        <v>67</v>
      </c>
      <c r="B69" s="7">
        <v>67</v>
      </c>
      <c r="C69" t="str">
        <f>VLOOKUP(B69,_Pitch!$A$2:$B$129,2,FALSE)</f>
        <v>G3</v>
      </c>
      <c r="D69" s="14" t="s">
        <v>145</v>
      </c>
      <c r="E69" s="14" t="s">
        <v>145</v>
      </c>
      <c r="F69" s="14" t="s">
        <v>290</v>
      </c>
    </row>
    <row r="70" spans="1:6">
      <c r="A70" s="7">
        <v>68</v>
      </c>
      <c r="B70" s="7">
        <v>68</v>
      </c>
      <c r="C70" t="str">
        <f>VLOOKUP(B70,_Pitch!$A$2:$B$129,2,FALSE)</f>
        <v>G#3</v>
      </c>
      <c r="D70" s="14" t="s">
        <v>665</v>
      </c>
      <c r="E70" s="14"/>
      <c r="F70" s="14"/>
    </row>
    <row r="71" spans="1:6">
      <c r="A71" s="7">
        <v>69</v>
      </c>
      <c r="B71" s="7">
        <v>69</v>
      </c>
      <c r="C71" t="str">
        <f>VLOOKUP(B71,_Pitch!$A$2:$B$129,2,FALSE)</f>
        <v>A3</v>
      </c>
      <c r="D71" s="14" t="s">
        <v>140</v>
      </c>
      <c r="E71" s="14" t="s">
        <v>140</v>
      </c>
      <c r="F71" s="14" t="s">
        <v>567</v>
      </c>
    </row>
    <row r="72" spans="1:6">
      <c r="A72" s="7">
        <v>70</v>
      </c>
      <c r="B72" s="7">
        <v>70</v>
      </c>
      <c r="C72" t="str">
        <f>VLOOKUP(B72,_Pitch!$A$2:$B$129,2,FALSE)</f>
        <v>A#3</v>
      </c>
      <c r="D72" s="14" t="s">
        <v>136</v>
      </c>
      <c r="E72" s="14" t="s">
        <v>561</v>
      </c>
      <c r="F72" s="14" t="s">
        <v>290</v>
      </c>
    </row>
    <row r="73" spans="1:6">
      <c r="A73" s="7">
        <v>71</v>
      </c>
      <c r="B73" s="7">
        <v>71</v>
      </c>
      <c r="C73" t="str">
        <f>VLOOKUP(B73,_Pitch!$A$2:$B$129,2,FALSE)</f>
        <v>B3</v>
      </c>
      <c r="D73" s="14" t="s">
        <v>144</v>
      </c>
      <c r="E73" s="14" t="s">
        <v>144</v>
      </c>
      <c r="F73" s="14"/>
    </row>
    <row r="74" spans="1:6">
      <c r="A74" s="7">
        <v>72</v>
      </c>
      <c r="B74" s="7">
        <v>72</v>
      </c>
      <c r="C74" t="str">
        <f>VLOOKUP(B74,_Pitch!$A$2:$B$129,2,FALSE)</f>
        <v>C4</v>
      </c>
      <c r="D74" s="14" t="s">
        <v>429</v>
      </c>
      <c r="E74" s="14" t="s">
        <v>199</v>
      </c>
      <c r="F74" s="14" t="s">
        <v>290</v>
      </c>
    </row>
    <row r="75" spans="1:6">
      <c r="A75" s="7">
        <v>73</v>
      </c>
      <c r="B75" s="7">
        <v>73</v>
      </c>
      <c r="C75" t="str">
        <f>VLOOKUP(B75,_Pitch!$A$2:$B$129,2,FALSE)</f>
        <v>C#4</v>
      </c>
      <c r="D75" s="14" t="s">
        <v>430</v>
      </c>
      <c r="E75" s="14" t="s">
        <v>198</v>
      </c>
      <c r="F75" s="14" t="s">
        <v>290</v>
      </c>
    </row>
    <row r="76" spans="1:6">
      <c r="A76" s="7">
        <v>74</v>
      </c>
      <c r="B76" s="7">
        <v>74</v>
      </c>
      <c r="C76" t="str">
        <f>VLOOKUP(B76,_Pitch!$A$2:$B$129,2,FALSE)</f>
        <v>D4</v>
      </c>
      <c r="D76" s="14" t="s">
        <v>429</v>
      </c>
      <c r="E76" s="14" t="s">
        <v>199</v>
      </c>
      <c r="F76" s="14" t="s">
        <v>567</v>
      </c>
    </row>
    <row r="77" spans="1:6">
      <c r="A77" s="7">
        <v>75</v>
      </c>
      <c r="B77" s="7">
        <v>75</v>
      </c>
      <c r="C77" t="str">
        <f>VLOOKUP(B77,_Pitch!$A$2:$B$129,2,FALSE)</f>
        <v>D#4</v>
      </c>
      <c r="D77" s="14" t="s">
        <v>430</v>
      </c>
      <c r="E77" s="14" t="s">
        <v>198</v>
      </c>
      <c r="F77" s="14"/>
    </row>
    <row r="78" spans="1:6">
      <c r="A78" s="7">
        <v>76</v>
      </c>
      <c r="B78" s="7">
        <v>76</v>
      </c>
      <c r="C78" t="str">
        <f>VLOOKUP(B78,_Pitch!$A$2:$B$129,2,FALSE)</f>
        <v>E4</v>
      </c>
      <c r="D78" s="14" t="s">
        <v>462</v>
      </c>
      <c r="E78" s="14" t="s">
        <v>200</v>
      </c>
      <c r="F78" s="14" t="s">
        <v>567</v>
      </c>
    </row>
    <row r="79" spans="1:6">
      <c r="A79" s="7">
        <v>77</v>
      </c>
      <c r="B79" s="7">
        <v>77</v>
      </c>
      <c r="C79" t="str">
        <f>VLOOKUP(B79,_Pitch!$A$2:$B$129,2,FALSE)</f>
        <v>F4</v>
      </c>
      <c r="D79" s="14" t="s">
        <v>1004</v>
      </c>
      <c r="E79" s="14" t="s">
        <v>1004</v>
      </c>
      <c r="F79" s="14" t="s">
        <v>567</v>
      </c>
    </row>
    <row r="80" spans="1:6">
      <c r="A80" s="7">
        <v>78</v>
      </c>
      <c r="B80" s="7">
        <v>78</v>
      </c>
      <c r="C80" t="str">
        <f>VLOOKUP(B80,_Pitch!$A$2:$B$129,2,FALSE)</f>
        <v>F#4</v>
      </c>
      <c r="D80" s="14" t="s">
        <v>999</v>
      </c>
      <c r="E80" s="14" t="s">
        <v>999</v>
      </c>
      <c r="F80" s="14" t="s">
        <v>567</v>
      </c>
    </row>
    <row r="81" spans="1:6">
      <c r="A81" s="7">
        <v>79</v>
      </c>
      <c r="B81" s="7">
        <v>79</v>
      </c>
      <c r="C81" t="str">
        <f>VLOOKUP(B81,_Pitch!$A$2:$B$129,2,FALSE)</f>
        <v>G4</v>
      </c>
      <c r="D81" s="14" t="s">
        <v>1003</v>
      </c>
      <c r="E81" s="14" t="s">
        <v>1003</v>
      </c>
      <c r="F81" s="14" t="s">
        <v>567</v>
      </c>
    </row>
    <row r="82" spans="1:6">
      <c r="A82" s="7">
        <v>80</v>
      </c>
      <c r="B82" s="7">
        <v>80</v>
      </c>
      <c r="C82" t="str">
        <f>VLOOKUP(B82,_Pitch!$A$2:$B$129,2,FALSE)</f>
        <v>G#4</v>
      </c>
      <c r="D82" s="14" t="s">
        <v>191</v>
      </c>
      <c r="E82" s="14" t="s">
        <v>191</v>
      </c>
      <c r="F82" s="14"/>
    </row>
    <row r="83" spans="1:6">
      <c r="A83" s="7">
        <v>81</v>
      </c>
      <c r="B83" s="7">
        <v>81</v>
      </c>
      <c r="C83" t="str">
        <f>VLOOKUP(B83,_Pitch!$A$2:$B$129,2,FALSE)</f>
        <v>A4</v>
      </c>
      <c r="D83" s="14" t="s">
        <v>998</v>
      </c>
      <c r="E83" s="14" t="s">
        <v>998</v>
      </c>
      <c r="F83" s="14" t="s">
        <v>567</v>
      </c>
    </row>
    <row r="84" spans="1:6">
      <c r="A84" s="7">
        <v>82</v>
      </c>
      <c r="B84" s="7">
        <v>82</v>
      </c>
      <c r="C84" t="str">
        <f>VLOOKUP(B84,_Pitch!$A$2:$B$129,2,FALSE)</f>
        <v>A#4</v>
      </c>
      <c r="D84" s="14" t="s">
        <v>189</v>
      </c>
      <c r="E84" s="14" t="s">
        <v>189</v>
      </c>
      <c r="F84" s="14"/>
    </row>
    <row r="85" spans="1:6">
      <c r="A85" s="7">
        <v>83</v>
      </c>
      <c r="B85" s="7">
        <v>83</v>
      </c>
      <c r="C85" t="str">
        <f>VLOOKUP(B85,_Pitch!$A$2:$B$129,2,FALSE)</f>
        <v>B4</v>
      </c>
      <c r="D85" s="14" t="s">
        <v>413</v>
      </c>
      <c r="E85" s="14" t="s">
        <v>210</v>
      </c>
      <c r="F85" s="14" t="s">
        <v>290</v>
      </c>
    </row>
    <row r="86" spans="1:6">
      <c r="A86" s="7">
        <v>84</v>
      </c>
      <c r="B86" s="7">
        <v>84</v>
      </c>
      <c r="C86" t="str">
        <f>VLOOKUP(B86,_Pitch!$A$2:$B$129,2,FALSE)</f>
        <v>C5</v>
      </c>
      <c r="D86" s="14" t="s">
        <v>423</v>
      </c>
      <c r="E86" s="14" t="s">
        <v>206</v>
      </c>
      <c r="F86" s="14" t="s">
        <v>290</v>
      </c>
    </row>
    <row r="87" spans="1:6">
      <c r="A87" s="7">
        <v>85</v>
      </c>
      <c r="B87" s="7">
        <v>85</v>
      </c>
      <c r="C87" t="str">
        <f>VLOOKUP(B87,_Pitch!$A$2:$B$129,2,FALSE)</f>
        <v>C#5</v>
      </c>
      <c r="D87" s="14" t="s">
        <v>463</v>
      </c>
      <c r="E87" s="14" t="s">
        <v>209</v>
      </c>
      <c r="F87" s="14" t="s">
        <v>290</v>
      </c>
    </row>
    <row r="88" spans="1:6">
      <c r="A88" s="7">
        <v>86</v>
      </c>
      <c r="B88" s="7">
        <v>86</v>
      </c>
      <c r="C88" t="str">
        <f>VLOOKUP(B88,_Pitch!$A$2:$B$129,2,FALSE)</f>
        <v>D5</v>
      </c>
      <c r="D88" s="14" t="s">
        <v>937</v>
      </c>
      <c r="E88" s="14" t="s">
        <v>568</v>
      </c>
      <c r="F88" s="14" t="s">
        <v>290</v>
      </c>
    </row>
    <row r="89" spans="1:6">
      <c r="A89" s="7">
        <v>87</v>
      </c>
      <c r="B89" s="7">
        <v>87</v>
      </c>
      <c r="C89" t="str">
        <f>VLOOKUP(B89,_Pitch!$A$2:$B$129,2,FALSE)</f>
        <v>D#5</v>
      </c>
      <c r="D89" s="14" t="s">
        <v>465</v>
      </c>
      <c r="E89" s="14" t="s">
        <v>207</v>
      </c>
      <c r="F89" s="14" t="s">
        <v>567</v>
      </c>
    </row>
    <row r="90" spans="1:6">
      <c r="A90" s="7">
        <v>88</v>
      </c>
      <c r="B90" s="7">
        <v>88</v>
      </c>
      <c r="C90" t="str">
        <f>VLOOKUP(B90,_Pitch!$A$2:$B$129,2,FALSE)</f>
        <v>E5</v>
      </c>
      <c r="D90" s="14" t="s">
        <v>466</v>
      </c>
      <c r="E90" s="14" t="s">
        <v>208</v>
      </c>
      <c r="F90" s="14" t="s">
        <v>567</v>
      </c>
    </row>
    <row r="91" spans="1:6">
      <c r="A91" s="7">
        <v>89</v>
      </c>
      <c r="B91" s="7">
        <v>89</v>
      </c>
      <c r="C91" t="str">
        <f>VLOOKUP(B91,_Pitch!$A$2:$B$129,2,FALSE)</f>
        <v>F5</v>
      </c>
      <c r="D91" s="14" t="s">
        <v>423</v>
      </c>
      <c r="E91" s="14" t="s">
        <v>206</v>
      </c>
      <c r="F91" s="14" t="s">
        <v>290</v>
      </c>
    </row>
    <row r="92" spans="1:6">
      <c r="A92" s="7">
        <v>90</v>
      </c>
      <c r="B92" s="7">
        <v>90</v>
      </c>
      <c r="C92" t="str">
        <f>VLOOKUP(B92,_Pitch!$A$2:$B$129,2,FALSE)</f>
        <v>F#5</v>
      </c>
      <c r="D92" s="14" t="s">
        <v>463</v>
      </c>
      <c r="E92" s="14" t="s">
        <v>209</v>
      </c>
      <c r="F92" s="14" t="s">
        <v>290</v>
      </c>
    </row>
    <row r="93" spans="1:6">
      <c r="A93" s="7">
        <v>91</v>
      </c>
      <c r="B93" s="7">
        <v>91</v>
      </c>
      <c r="C93" t="str">
        <f>VLOOKUP(B93,_Pitch!$A$2:$B$129,2,FALSE)</f>
        <v>G5</v>
      </c>
      <c r="D93" s="14" t="s">
        <v>937</v>
      </c>
      <c r="E93" s="14" t="s">
        <v>568</v>
      </c>
      <c r="F93" s="14" t="s">
        <v>290</v>
      </c>
    </row>
    <row r="94" spans="1:6">
      <c r="A94" s="7">
        <v>92</v>
      </c>
      <c r="B94" s="7">
        <v>92</v>
      </c>
      <c r="C94" t="str">
        <f>VLOOKUP(B94,_Pitch!$A$2:$B$129,2,FALSE)</f>
        <v>G#5</v>
      </c>
      <c r="D94" s="14" t="s">
        <v>465</v>
      </c>
      <c r="E94" s="14" t="s">
        <v>208</v>
      </c>
      <c r="F94" s="14" t="s">
        <v>290</v>
      </c>
    </row>
    <row r="95" spans="1:6">
      <c r="A95" s="7">
        <v>93</v>
      </c>
      <c r="B95" s="7">
        <v>93</v>
      </c>
      <c r="C95" t="str">
        <f>VLOOKUP(B95,_Pitch!$A$2:$B$129,2,FALSE)</f>
        <v>A5</v>
      </c>
      <c r="D95" s="14" t="s">
        <v>466</v>
      </c>
      <c r="E95" s="14" t="s">
        <v>208</v>
      </c>
      <c r="F95" s="14" t="s">
        <v>290</v>
      </c>
    </row>
    <row r="96" spans="1:6">
      <c r="A96" s="7">
        <v>94</v>
      </c>
      <c r="B96" s="7">
        <v>94</v>
      </c>
      <c r="C96" t="str">
        <f>VLOOKUP(B96,_Pitch!$A$2:$B$129,2,FALSE)</f>
        <v>A#5</v>
      </c>
      <c r="D96" s="14" t="s">
        <v>413</v>
      </c>
      <c r="E96" s="14" t="s">
        <v>210</v>
      </c>
      <c r="F96" s="14" t="s">
        <v>290</v>
      </c>
    </row>
    <row r="97" spans="1:6">
      <c r="A97" s="7">
        <v>95</v>
      </c>
      <c r="B97" s="7">
        <v>95</v>
      </c>
      <c r="C97" t="str">
        <f>VLOOKUP(B97,_Pitch!$A$2:$B$129,2,FALSE)</f>
        <v>B5</v>
      </c>
      <c r="D97" s="14" t="s">
        <v>413</v>
      </c>
      <c r="E97" s="14" t="s">
        <v>210</v>
      </c>
      <c r="F97" s="14" t="s">
        <v>290</v>
      </c>
    </row>
    <row r="98" spans="1:6">
      <c r="A98" s="7">
        <v>96</v>
      </c>
      <c r="B98" s="7">
        <v>96</v>
      </c>
      <c r="C98" t="str">
        <f>VLOOKUP(B98,_Pitch!$A$2:$B$129,2,FALSE)</f>
        <v>C6</v>
      </c>
      <c r="D98" s="14" t="s">
        <v>423</v>
      </c>
      <c r="E98" s="14" t="s">
        <v>206</v>
      </c>
      <c r="F98" s="14" t="s">
        <v>290</v>
      </c>
    </row>
    <row r="99" spans="1:6">
      <c r="A99" s="7">
        <v>97</v>
      </c>
      <c r="B99" s="7">
        <v>97</v>
      </c>
      <c r="C99" t="str">
        <f>VLOOKUP(B99,_Pitch!$A$2:$B$129,2,FALSE)</f>
        <v>C#6</v>
      </c>
      <c r="D99" s="14" t="s">
        <v>463</v>
      </c>
      <c r="E99" s="14" t="s">
        <v>209</v>
      </c>
      <c r="F99" s="14" t="s">
        <v>290</v>
      </c>
    </row>
    <row r="100" spans="1:6">
      <c r="A100" s="7">
        <v>98</v>
      </c>
      <c r="B100" s="7">
        <v>98</v>
      </c>
      <c r="C100" t="str">
        <f>VLOOKUP(B100,_Pitch!$A$2:$B$129,2,FALSE)</f>
        <v>D6</v>
      </c>
      <c r="D100" s="14" t="s">
        <v>937</v>
      </c>
      <c r="E100" s="14" t="s">
        <v>568</v>
      </c>
      <c r="F100" s="14" t="s">
        <v>290</v>
      </c>
    </row>
    <row r="101" spans="1:6">
      <c r="A101" s="7">
        <v>99</v>
      </c>
      <c r="B101" s="7">
        <v>99</v>
      </c>
      <c r="C101" t="str">
        <f>VLOOKUP(B101,_Pitch!$A$2:$B$129,2,FALSE)</f>
        <v>D#6</v>
      </c>
      <c r="D101" s="14" t="s">
        <v>465</v>
      </c>
      <c r="E101" s="14" t="s">
        <v>208</v>
      </c>
      <c r="F101" s="14" t="s">
        <v>290</v>
      </c>
    </row>
    <row r="102" spans="1:6">
      <c r="A102" s="7">
        <v>100</v>
      </c>
      <c r="B102" s="7">
        <v>100</v>
      </c>
      <c r="C102" t="str">
        <f>VLOOKUP(B102,_Pitch!$A$2:$B$129,2,FALSE)</f>
        <v>E6</v>
      </c>
      <c r="D102" s="14" t="s">
        <v>466</v>
      </c>
      <c r="E102" s="14" t="s">
        <v>208</v>
      </c>
      <c r="F102" s="14" t="s">
        <v>290</v>
      </c>
    </row>
    <row r="103" spans="1:6">
      <c r="A103" s="7">
        <v>101</v>
      </c>
      <c r="B103" s="7">
        <v>101</v>
      </c>
      <c r="C103" t="str">
        <f>VLOOKUP(B103,_Pitch!$A$2:$B$129,2,FALSE)</f>
        <v>F6</v>
      </c>
      <c r="D103" s="14" t="s">
        <v>420</v>
      </c>
      <c r="E103" s="14" t="s">
        <v>212</v>
      </c>
      <c r="F103" s="14" t="s">
        <v>290</v>
      </c>
    </row>
    <row r="104" spans="1:6">
      <c r="A104" s="7">
        <v>102</v>
      </c>
      <c r="B104" s="7">
        <v>102</v>
      </c>
      <c r="C104" t="str">
        <f>VLOOKUP(B104,_Pitch!$A$2:$B$129,2,FALSE)</f>
        <v>F#6</v>
      </c>
      <c r="D104" s="14" t="s">
        <v>464</v>
      </c>
      <c r="E104" s="14" t="s">
        <v>215</v>
      </c>
      <c r="F104" s="14" t="s">
        <v>290</v>
      </c>
    </row>
    <row r="105" spans="1:6">
      <c r="A105" s="7">
        <v>103</v>
      </c>
      <c r="B105" s="7">
        <v>103</v>
      </c>
      <c r="C105" t="str">
        <f>VLOOKUP(B105,_Pitch!$A$2:$B$129,2,FALSE)</f>
        <v>G6</v>
      </c>
      <c r="D105" s="14" t="s">
        <v>944</v>
      </c>
      <c r="E105" s="14" t="s">
        <v>569</v>
      </c>
      <c r="F105" s="14" t="s">
        <v>290</v>
      </c>
    </row>
    <row r="106" spans="1:6">
      <c r="A106" s="7">
        <v>104</v>
      </c>
      <c r="B106" s="7">
        <v>104</v>
      </c>
      <c r="C106" t="str">
        <f>VLOOKUP(B106,_Pitch!$A$2:$B$129,2,FALSE)</f>
        <v>G#6</v>
      </c>
      <c r="D106" s="14" t="s">
        <v>467</v>
      </c>
      <c r="E106" s="14" t="s">
        <v>213</v>
      </c>
      <c r="F106" s="14" t="s">
        <v>567</v>
      </c>
    </row>
    <row r="107" spans="1:6">
      <c r="A107" s="7">
        <v>105</v>
      </c>
      <c r="B107" s="7">
        <v>105</v>
      </c>
      <c r="C107" t="str">
        <f>VLOOKUP(B107,_Pitch!$A$2:$B$129,2,FALSE)</f>
        <v>A6</v>
      </c>
      <c r="D107" s="14" t="s">
        <v>468</v>
      </c>
      <c r="E107" s="14" t="s">
        <v>214</v>
      </c>
      <c r="F107" s="14" t="s">
        <v>567</v>
      </c>
    </row>
    <row r="108" spans="1:6">
      <c r="A108" s="7">
        <v>106</v>
      </c>
      <c r="B108" s="7">
        <v>106</v>
      </c>
      <c r="C108" t="str">
        <f>VLOOKUP(B108,_Pitch!$A$2:$B$129,2,FALSE)</f>
        <v>A#6</v>
      </c>
      <c r="D108" s="14" t="s">
        <v>408</v>
      </c>
      <c r="E108" s="14" t="s">
        <v>216</v>
      </c>
      <c r="F108" s="14" t="s">
        <v>290</v>
      </c>
    </row>
    <row r="109" spans="1:6">
      <c r="A109" s="7">
        <v>107</v>
      </c>
      <c r="B109" s="7">
        <v>107</v>
      </c>
      <c r="C109" t="str">
        <f>VLOOKUP(B109,_Pitch!$A$2:$B$129,2,FALSE)</f>
        <v>B6</v>
      </c>
      <c r="D109" s="14" t="s">
        <v>408</v>
      </c>
      <c r="E109" s="14" t="s">
        <v>216</v>
      </c>
      <c r="F109" s="14" t="s">
        <v>290</v>
      </c>
    </row>
    <row r="110" spans="1:6">
      <c r="A110" s="7">
        <v>108</v>
      </c>
      <c r="B110" s="7">
        <v>108</v>
      </c>
      <c r="C110" t="str">
        <f>VLOOKUP(B110,_Pitch!$A$2:$B$129,2,FALSE)</f>
        <v>C7</v>
      </c>
      <c r="D110" s="14" t="s">
        <v>420</v>
      </c>
      <c r="E110" s="14" t="s">
        <v>212</v>
      </c>
      <c r="F110" s="14" t="s">
        <v>290</v>
      </c>
    </row>
    <row r="111" spans="1:6">
      <c r="A111" s="7">
        <v>109</v>
      </c>
      <c r="B111" s="7">
        <v>109</v>
      </c>
      <c r="C111" t="str">
        <f>VLOOKUP(B111,_Pitch!$A$2:$B$129,2,FALSE)</f>
        <v>C#7</v>
      </c>
      <c r="D111" s="14" t="s">
        <v>464</v>
      </c>
      <c r="E111" s="14" t="s">
        <v>215</v>
      </c>
      <c r="F111" s="14" t="s">
        <v>290</v>
      </c>
    </row>
    <row r="112" spans="1:6">
      <c r="A112" s="7">
        <v>110</v>
      </c>
      <c r="B112" s="7">
        <v>110</v>
      </c>
      <c r="C112" t="str">
        <f>VLOOKUP(B112,_Pitch!$A$2:$B$129,2,FALSE)</f>
        <v>D7</v>
      </c>
      <c r="D112" s="14" t="s">
        <v>944</v>
      </c>
      <c r="E112" s="14" t="s">
        <v>569</v>
      </c>
      <c r="F112" s="14" t="s">
        <v>290</v>
      </c>
    </row>
    <row r="113" spans="1:6">
      <c r="A113" s="7">
        <v>111</v>
      </c>
      <c r="B113" s="7">
        <v>111</v>
      </c>
      <c r="C113" t="str">
        <f>VLOOKUP(B113,_Pitch!$A$2:$B$129,2,FALSE)</f>
        <v>D#7</v>
      </c>
      <c r="D113" s="14" t="s">
        <v>467</v>
      </c>
      <c r="E113" s="14" t="s">
        <v>213</v>
      </c>
      <c r="F113" s="14" t="s">
        <v>290</v>
      </c>
    </row>
    <row r="114" spans="1:6">
      <c r="A114" s="7">
        <v>112</v>
      </c>
      <c r="B114" s="7">
        <v>112</v>
      </c>
      <c r="C114" t="str">
        <f>VLOOKUP(B114,_Pitch!$A$2:$B$129,2,FALSE)</f>
        <v>E7</v>
      </c>
      <c r="D114" s="14" t="s">
        <v>468</v>
      </c>
      <c r="E114" s="14" t="s">
        <v>214</v>
      </c>
      <c r="F114" s="14" t="s">
        <v>290</v>
      </c>
    </row>
    <row r="115" spans="1:6">
      <c r="A115" s="7">
        <v>113</v>
      </c>
      <c r="B115" s="7">
        <v>113</v>
      </c>
      <c r="C115" t="str">
        <f>VLOOKUP(B115,_Pitch!$A$2:$B$129,2,FALSE)</f>
        <v>F7</v>
      </c>
      <c r="D115" s="14" t="s">
        <v>460</v>
      </c>
      <c r="E115" s="14" t="s">
        <v>178</v>
      </c>
      <c r="F115" s="14" t="s">
        <v>290</v>
      </c>
    </row>
    <row r="116" spans="1:6">
      <c r="A116" s="7">
        <v>114</v>
      </c>
      <c r="B116" s="7">
        <v>114</v>
      </c>
      <c r="C116" t="str">
        <f>VLOOKUP(B116,_Pitch!$A$2:$B$129,2,FALSE)</f>
        <v>F#7</v>
      </c>
      <c r="D116" s="14" t="s">
        <v>443</v>
      </c>
      <c r="E116" s="14" t="s">
        <v>181</v>
      </c>
      <c r="F116" s="14" t="s">
        <v>290</v>
      </c>
    </row>
    <row r="117" spans="1:6">
      <c r="A117" s="7">
        <v>115</v>
      </c>
      <c r="B117" s="7">
        <v>115</v>
      </c>
      <c r="C117" t="str">
        <f>VLOOKUP(B117,_Pitch!$A$2:$B$129,2,FALSE)</f>
        <v>G7</v>
      </c>
      <c r="D117" s="14" t="s">
        <v>412</v>
      </c>
      <c r="E117" s="14" t="s">
        <v>182</v>
      </c>
      <c r="F117" s="14" t="s">
        <v>290</v>
      </c>
    </row>
    <row r="118" spans="1:6">
      <c r="A118" s="7">
        <v>116</v>
      </c>
      <c r="B118" s="7">
        <v>116</v>
      </c>
      <c r="C118" t="str">
        <f>VLOOKUP(B118,_Pitch!$A$2:$B$129,2,FALSE)</f>
        <v>G#7</v>
      </c>
      <c r="D118" s="14" t="s">
        <v>442</v>
      </c>
      <c r="E118" s="14" t="s">
        <v>179</v>
      </c>
      <c r="F118" s="14"/>
    </row>
    <row r="119" spans="1:6">
      <c r="A119" s="7">
        <v>117</v>
      </c>
      <c r="B119" s="7">
        <v>117</v>
      </c>
      <c r="C119" t="str">
        <f>VLOOKUP(B119,_Pitch!$A$2:$B$129,2,FALSE)</f>
        <v>A7</v>
      </c>
      <c r="D119" s="14" t="s">
        <v>444</v>
      </c>
      <c r="E119" s="14" t="s">
        <v>180</v>
      </c>
      <c r="F119" s="14" t="s">
        <v>290</v>
      </c>
    </row>
    <row r="120" spans="1:6">
      <c r="A120" s="7">
        <v>118</v>
      </c>
      <c r="B120" s="7">
        <v>118</v>
      </c>
      <c r="C120" t="str">
        <f>VLOOKUP(B120,_Pitch!$A$2:$B$129,2,FALSE)</f>
        <v>A#7</v>
      </c>
      <c r="D120" s="14" t="s">
        <v>419</v>
      </c>
      <c r="E120" s="14" t="s">
        <v>183</v>
      </c>
      <c r="F120" s="14"/>
    </row>
    <row r="121" spans="1:6">
      <c r="A121" s="7">
        <v>119</v>
      </c>
      <c r="B121" s="7">
        <v>119</v>
      </c>
      <c r="C121" t="str">
        <f>VLOOKUP(B121,_Pitch!$A$2:$B$129,2,FALSE)</f>
        <v>B7</v>
      </c>
      <c r="D121" s="14" t="s">
        <v>155</v>
      </c>
      <c r="E121" s="14" t="s">
        <v>155</v>
      </c>
      <c r="F121" s="14" t="s">
        <v>567</v>
      </c>
    </row>
    <row r="122" spans="1:6">
      <c r="A122" s="7">
        <v>120</v>
      </c>
      <c r="B122" s="7">
        <v>120</v>
      </c>
      <c r="C122" t="str">
        <f>VLOOKUP(B122,_Pitch!$A$2:$B$129,2,FALSE)</f>
        <v>C8</v>
      </c>
      <c r="D122" s="14" t="s">
        <v>170</v>
      </c>
      <c r="E122" s="14" t="s">
        <v>170</v>
      </c>
      <c r="F122" s="14" t="s">
        <v>567</v>
      </c>
    </row>
    <row r="123" spans="1:6">
      <c r="A123" s="7">
        <v>121</v>
      </c>
      <c r="B123" s="7">
        <v>121</v>
      </c>
      <c r="C123" t="str">
        <f>VLOOKUP(B123,_Pitch!$A$2:$B$129,2,FALSE)</f>
        <v>C#8</v>
      </c>
      <c r="D123" s="14" t="s">
        <v>171</v>
      </c>
      <c r="E123" s="14" t="s">
        <v>171</v>
      </c>
      <c r="F123" s="14" t="s">
        <v>567</v>
      </c>
    </row>
    <row r="124" spans="1:6">
      <c r="A124" s="7">
        <v>122</v>
      </c>
      <c r="B124" s="7">
        <v>122</v>
      </c>
      <c r="C124" t="str">
        <f>VLOOKUP(B124,_Pitch!$A$2:$B$129,2,FALSE)</f>
        <v>D8</v>
      </c>
      <c r="D124" s="14" t="s">
        <v>172</v>
      </c>
      <c r="E124" s="14" t="s">
        <v>172</v>
      </c>
      <c r="F124" s="14" t="s">
        <v>567</v>
      </c>
    </row>
    <row r="125" spans="1:6">
      <c r="A125" s="7">
        <v>123</v>
      </c>
      <c r="B125" s="7">
        <v>123</v>
      </c>
      <c r="C125" t="str">
        <f>VLOOKUP(B125,_Pitch!$A$2:$B$129,2,FALSE)</f>
        <v>D#8</v>
      </c>
      <c r="D125" s="14" t="s">
        <v>173</v>
      </c>
      <c r="E125" s="14" t="s">
        <v>173</v>
      </c>
      <c r="F125" s="14" t="s">
        <v>567</v>
      </c>
    </row>
    <row r="126" spans="1:6">
      <c r="A126" s="7">
        <v>124</v>
      </c>
      <c r="B126" s="7">
        <v>124</v>
      </c>
      <c r="C126" t="str">
        <f>VLOOKUP(B126,_Pitch!$A$2:$B$129,2,FALSE)</f>
        <v>E8</v>
      </c>
      <c r="D126" s="14" t="s">
        <v>174</v>
      </c>
      <c r="E126" s="14" t="s">
        <v>174</v>
      </c>
      <c r="F126" s="14" t="s">
        <v>567</v>
      </c>
    </row>
    <row r="127" spans="1:6">
      <c r="A127" s="7">
        <v>125</v>
      </c>
      <c r="B127" s="7">
        <v>125</v>
      </c>
      <c r="C127" t="str">
        <f>VLOOKUP(B127,_Pitch!$A$2:$B$129,2,FALSE)</f>
        <v>F8</v>
      </c>
      <c r="D127" s="14" t="s">
        <v>138</v>
      </c>
      <c r="E127" s="14" t="s">
        <v>138</v>
      </c>
      <c r="F127" s="14"/>
    </row>
    <row r="128" spans="1:6">
      <c r="A128" s="7">
        <v>126</v>
      </c>
      <c r="B128" s="7">
        <v>126</v>
      </c>
      <c r="C128" t="str">
        <f>VLOOKUP(B128,_Pitch!$A$2:$B$129,2,FALSE)</f>
        <v>F#8</v>
      </c>
      <c r="D128" s="14" t="s">
        <v>234</v>
      </c>
      <c r="E128" s="14" t="s">
        <v>1077</v>
      </c>
      <c r="F128" s="14" t="s">
        <v>290</v>
      </c>
    </row>
    <row r="129" spans="1:6">
      <c r="A129" s="7">
        <v>127</v>
      </c>
      <c r="B129" s="7">
        <v>127</v>
      </c>
      <c r="C129" t="str">
        <f>VLOOKUP(B129,_Pitch!$A$2:$B$129,2,FALSE)</f>
        <v>G8</v>
      </c>
      <c r="D129" s="14" t="s">
        <v>145</v>
      </c>
      <c r="E129" s="14" t="s">
        <v>145</v>
      </c>
      <c r="F129" s="14" t="s">
        <v>290</v>
      </c>
    </row>
  </sheetData>
  <autoFilter ref="A1:G129" xr:uid="{77E18B8D-EBDE-4D1F-BC8A-E90EAF1B9F57}"/>
  <phoneticPr fontId="1"/>
  <dataValidations count="1">
    <dataValidation type="list" allowBlank="1" showInputMessage="1" showErrorMessage="1" sqref="F2:F129" xr:uid="{B9BB40D9-6D79-4678-9524-B0CCFDE72414}">
      <formula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E0C3B10-88A6-4A5E-8F9F-7E2E2294EF12}">
          <x14:formula1>
            <xm:f>_Articulation!$B$2:B$158</xm:f>
          </x14:formula1>
          <xm:sqref>E2:E129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68DEAC-CE4E-4AD6-A8A8-FDF562A7F9B6}">
  <sheetPr codeName="Sheet14"/>
  <dimension ref="A1:G129"/>
  <sheetViews>
    <sheetView workbookViewId="0">
      <pane ySplit="1" topLeftCell="A2" activePane="bottomLeft" state="frozen"/>
      <selection activeCell="D14" sqref="D14"/>
      <selection pane="bottomLeft" activeCell="A2" sqref="A2"/>
    </sheetView>
  </sheetViews>
  <sheetFormatPr defaultRowHeight="13.5"/>
  <cols>
    <col min="1" max="1" width="4.5" style="7" bestFit="1" customWidth="1"/>
    <col min="2" max="2" width="4.5" bestFit="1" customWidth="1"/>
    <col min="3" max="3" width="5.5" bestFit="1" customWidth="1"/>
    <col min="4" max="4" width="45.625" customWidth="1"/>
    <col min="5" max="5" width="28.25" customWidth="1"/>
    <col min="6" max="6" width="10.25" customWidth="1"/>
  </cols>
  <sheetData>
    <row r="1" spans="1:7" s="6" customFormat="1" ht="141.75" customHeight="1">
      <c r="A1" s="15" t="s">
        <v>130</v>
      </c>
      <c r="B1" s="15" t="s">
        <v>1105</v>
      </c>
      <c r="C1" s="15" t="s">
        <v>1106</v>
      </c>
      <c r="D1" s="16" t="s">
        <v>131</v>
      </c>
      <c r="E1" s="23" t="s">
        <v>132</v>
      </c>
      <c r="F1" s="17" t="s">
        <v>664</v>
      </c>
      <c r="G1" s="15" t="s">
        <v>696</v>
      </c>
    </row>
    <row r="2" spans="1:7">
      <c r="A2" s="7">
        <v>0</v>
      </c>
      <c r="B2" s="7">
        <v>0</v>
      </c>
      <c r="C2" t="str">
        <f>VLOOKUP(B2,_Pitch!$A$2:$B$129,2,FALSE)</f>
        <v>C-2</v>
      </c>
      <c r="D2" s="14"/>
      <c r="E2" s="14"/>
      <c r="F2" s="14"/>
    </row>
    <row r="3" spans="1:7">
      <c r="A3" s="7">
        <v>1</v>
      </c>
      <c r="B3" s="7">
        <v>1</v>
      </c>
      <c r="C3" t="str">
        <f>VLOOKUP(B3,_Pitch!$A$2:$B$129,2,FALSE)</f>
        <v>C#-2</v>
      </c>
      <c r="D3" s="14"/>
      <c r="E3" s="14"/>
      <c r="F3" s="14"/>
    </row>
    <row r="4" spans="1:7">
      <c r="A4" s="7">
        <v>2</v>
      </c>
      <c r="B4" s="7">
        <v>2</v>
      </c>
      <c r="C4" t="str">
        <f>VLOOKUP(B4,_Pitch!$A$2:$B$129,2,FALSE)</f>
        <v>D-2</v>
      </c>
      <c r="D4" s="14"/>
      <c r="E4" s="14" t="s">
        <v>455</v>
      </c>
      <c r="F4" s="14"/>
    </row>
    <row r="5" spans="1:7">
      <c r="A5" s="7">
        <v>3</v>
      </c>
      <c r="B5" s="7">
        <v>3</v>
      </c>
      <c r="C5" t="str">
        <f>VLOOKUP(B5,_Pitch!$A$2:$B$129,2,FALSE)</f>
        <v>D#-2</v>
      </c>
      <c r="D5" s="14"/>
      <c r="E5" s="14" t="s">
        <v>455</v>
      </c>
      <c r="F5" s="14"/>
    </row>
    <row r="6" spans="1:7">
      <c r="A6" s="7">
        <v>4</v>
      </c>
      <c r="B6" s="7">
        <v>4</v>
      </c>
      <c r="C6" t="str">
        <f>VLOOKUP(B6,_Pitch!$A$2:$B$129,2,FALSE)</f>
        <v>E-2</v>
      </c>
      <c r="D6" s="14"/>
      <c r="E6" s="14" t="s">
        <v>455</v>
      </c>
      <c r="F6" s="14"/>
    </row>
    <row r="7" spans="1:7">
      <c r="A7" s="7">
        <v>5</v>
      </c>
      <c r="B7" s="7">
        <v>5</v>
      </c>
      <c r="C7" t="str">
        <f>VLOOKUP(B7,_Pitch!$A$2:$B$129,2,FALSE)</f>
        <v>F-2</v>
      </c>
      <c r="D7" s="14"/>
      <c r="E7" s="14" t="s">
        <v>455</v>
      </c>
      <c r="F7" s="14"/>
    </row>
    <row r="8" spans="1:7">
      <c r="A8" s="7">
        <v>6</v>
      </c>
      <c r="B8" s="7">
        <v>6</v>
      </c>
      <c r="C8" t="str">
        <f>VLOOKUP(B8,_Pitch!$A$2:$B$129,2,FALSE)</f>
        <v>F#-2</v>
      </c>
      <c r="D8" s="14" t="s">
        <v>400</v>
      </c>
      <c r="E8" s="14"/>
      <c r="F8" s="14"/>
    </row>
    <row r="9" spans="1:7">
      <c r="A9" s="7">
        <v>7</v>
      </c>
      <c r="B9" s="7">
        <v>7</v>
      </c>
      <c r="C9" t="str">
        <f>VLOOKUP(B9,_Pitch!$A$2:$B$129,2,FALSE)</f>
        <v>G-2</v>
      </c>
      <c r="D9" s="14" t="s">
        <v>401</v>
      </c>
      <c r="E9" s="14"/>
      <c r="F9" s="14"/>
    </row>
    <row r="10" spans="1:7">
      <c r="A10" s="7">
        <v>8</v>
      </c>
      <c r="B10" s="7">
        <v>8</v>
      </c>
      <c r="C10" t="str">
        <f>VLOOKUP(B10,_Pitch!$A$2:$B$129,2,FALSE)</f>
        <v>G#-2</v>
      </c>
      <c r="D10" s="14" t="s">
        <v>402</v>
      </c>
      <c r="E10" s="14"/>
      <c r="F10" s="14"/>
    </row>
    <row r="11" spans="1:7">
      <c r="A11" s="7">
        <v>9</v>
      </c>
      <c r="B11" s="7">
        <v>9</v>
      </c>
      <c r="C11" t="str">
        <f>VLOOKUP(B11,_Pitch!$A$2:$B$129,2,FALSE)</f>
        <v>A-2</v>
      </c>
      <c r="D11" s="14" t="s">
        <v>457</v>
      </c>
      <c r="E11" s="14"/>
      <c r="F11" s="14"/>
    </row>
    <row r="12" spans="1:7">
      <c r="A12" s="7">
        <v>10</v>
      </c>
      <c r="B12" s="7">
        <v>10</v>
      </c>
      <c r="C12" t="str">
        <f>VLOOKUP(B12,_Pitch!$A$2:$B$129,2,FALSE)</f>
        <v>A#-2</v>
      </c>
      <c r="D12" s="14" t="s">
        <v>1068</v>
      </c>
      <c r="E12" s="14" t="s">
        <v>1068</v>
      </c>
      <c r="F12" s="14" t="s">
        <v>290</v>
      </c>
    </row>
    <row r="13" spans="1:7">
      <c r="A13" s="7">
        <v>11</v>
      </c>
      <c r="B13" s="7">
        <v>11</v>
      </c>
      <c r="C13" t="str">
        <f>VLOOKUP(B13,_Pitch!$A$2:$B$129,2,FALSE)</f>
        <v>B-2</v>
      </c>
      <c r="D13" s="14" t="s">
        <v>153</v>
      </c>
      <c r="E13" s="14" t="s">
        <v>153</v>
      </c>
      <c r="F13" s="14" t="s">
        <v>290</v>
      </c>
    </row>
    <row r="14" spans="1:7">
      <c r="A14" s="7">
        <v>12</v>
      </c>
      <c r="B14" s="7">
        <v>12</v>
      </c>
      <c r="C14" t="str">
        <f>VLOOKUP(B14,_Pitch!$A$2:$B$129,2,FALSE)</f>
        <v>C-1</v>
      </c>
      <c r="D14" s="14" t="s">
        <v>164</v>
      </c>
      <c r="E14" s="14" t="s">
        <v>164</v>
      </c>
      <c r="F14" s="14"/>
    </row>
    <row r="15" spans="1:7">
      <c r="A15" s="7">
        <v>13</v>
      </c>
      <c r="B15" s="7">
        <v>13</v>
      </c>
      <c r="C15" t="str">
        <f>VLOOKUP(B15,_Pitch!$A$2:$B$129,2,FALSE)</f>
        <v>C#-1</v>
      </c>
      <c r="D15" s="14" t="s">
        <v>165</v>
      </c>
      <c r="E15" s="14" t="s">
        <v>165</v>
      </c>
      <c r="F15" s="14"/>
    </row>
    <row r="16" spans="1:7">
      <c r="A16" s="7">
        <v>14</v>
      </c>
      <c r="B16" s="7">
        <v>14</v>
      </c>
      <c r="C16" t="str">
        <f>VLOOKUP(B16,_Pitch!$A$2:$B$129,2,FALSE)</f>
        <v>D-1</v>
      </c>
      <c r="D16" s="14" t="s">
        <v>166</v>
      </c>
      <c r="E16" s="14" t="s">
        <v>166</v>
      </c>
      <c r="F16" s="14"/>
    </row>
    <row r="17" spans="1:6">
      <c r="A17" s="7">
        <v>15</v>
      </c>
      <c r="B17" s="7">
        <v>15</v>
      </c>
      <c r="C17" t="str">
        <f>VLOOKUP(B17,_Pitch!$A$2:$B$129,2,FALSE)</f>
        <v>D#-1</v>
      </c>
      <c r="D17" s="14" t="s">
        <v>167</v>
      </c>
      <c r="E17" s="14" t="s">
        <v>167</v>
      </c>
      <c r="F17" s="14"/>
    </row>
    <row r="18" spans="1:6">
      <c r="A18" s="7">
        <v>16</v>
      </c>
      <c r="B18" s="7">
        <v>16</v>
      </c>
      <c r="C18" t="str">
        <f>VLOOKUP(B18,_Pitch!$A$2:$B$129,2,FALSE)</f>
        <v>E-1</v>
      </c>
      <c r="D18" s="14" t="s">
        <v>168</v>
      </c>
      <c r="E18" s="14" t="s">
        <v>168</v>
      </c>
      <c r="F18" s="14"/>
    </row>
    <row r="19" spans="1:6">
      <c r="A19" s="7">
        <v>17</v>
      </c>
      <c r="B19" s="7">
        <v>17</v>
      </c>
      <c r="C19" t="str">
        <f>VLOOKUP(B19,_Pitch!$A$2:$B$129,2,FALSE)</f>
        <v>F-1</v>
      </c>
      <c r="D19" s="14" t="s">
        <v>169</v>
      </c>
      <c r="E19" s="14" t="s">
        <v>169</v>
      </c>
      <c r="F19" s="14" t="s">
        <v>567</v>
      </c>
    </row>
    <row r="20" spans="1:6">
      <c r="A20" s="7">
        <v>18</v>
      </c>
      <c r="B20" s="7">
        <v>18</v>
      </c>
      <c r="C20" t="str">
        <f>VLOOKUP(B20,_Pitch!$A$2:$B$129,2,FALSE)</f>
        <v>F#-1</v>
      </c>
      <c r="D20" s="14" t="s">
        <v>401</v>
      </c>
      <c r="E20" s="14"/>
      <c r="F20" s="14"/>
    </row>
    <row r="21" spans="1:6">
      <c r="A21" s="7">
        <v>19</v>
      </c>
      <c r="B21" s="7">
        <v>19</v>
      </c>
      <c r="C21" t="str">
        <f>VLOOKUP(B21,_Pitch!$A$2:$B$129,2,FALSE)</f>
        <v>G-1</v>
      </c>
      <c r="D21" s="14" t="s">
        <v>402</v>
      </c>
      <c r="E21" s="14"/>
      <c r="F21" s="14"/>
    </row>
    <row r="22" spans="1:6">
      <c r="A22" s="7">
        <v>20</v>
      </c>
      <c r="B22" s="7">
        <v>20</v>
      </c>
      <c r="C22" t="str">
        <f>VLOOKUP(B22,_Pitch!$A$2:$B$129,2,FALSE)</f>
        <v>G#-1</v>
      </c>
      <c r="D22" s="14" t="s">
        <v>401</v>
      </c>
      <c r="E22" s="14"/>
      <c r="F22" s="14"/>
    </row>
    <row r="23" spans="1:6">
      <c r="A23" s="7">
        <v>21</v>
      </c>
      <c r="B23" s="7">
        <v>21</v>
      </c>
      <c r="C23" t="str">
        <f>VLOOKUP(B23,_Pitch!$A$2:$B$129,2,FALSE)</f>
        <v>A-1</v>
      </c>
      <c r="D23" s="14" t="s">
        <v>1068</v>
      </c>
      <c r="E23" s="14" t="s">
        <v>1068</v>
      </c>
      <c r="F23" s="14" t="s">
        <v>290</v>
      </c>
    </row>
    <row r="24" spans="1:6">
      <c r="A24" s="7">
        <v>22</v>
      </c>
      <c r="B24" s="7">
        <v>22</v>
      </c>
      <c r="C24" t="str">
        <f>VLOOKUP(B24,_Pitch!$A$2:$B$129,2,FALSE)</f>
        <v>A#-1</v>
      </c>
      <c r="D24" s="14" t="s">
        <v>149</v>
      </c>
      <c r="E24" s="14" t="s">
        <v>149</v>
      </c>
      <c r="F24" s="14"/>
    </row>
    <row r="25" spans="1:6">
      <c r="A25" s="7">
        <v>23</v>
      </c>
      <c r="B25" s="7">
        <v>23</v>
      </c>
      <c r="C25" t="str">
        <f>VLOOKUP(B25,_Pitch!$A$2:$B$129,2,FALSE)</f>
        <v>B-1</v>
      </c>
      <c r="D25" s="14" t="s">
        <v>403</v>
      </c>
      <c r="E25" s="14" t="s">
        <v>403</v>
      </c>
      <c r="F25" s="14"/>
    </row>
    <row r="26" spans="1:6">
      <c r="A26" s="7">
        <v>24</v>
      </c>
      <c r="B26" s="7">
        <v>24</v>
      </c>
      <c r="C26" t="str">
        <f>VLOOKUP(B26,_Pitch!$A$2:$B$129,2,FALSE)</f>
        <v>C0</v>
      </c>
      <c r="D26" s="14" t="s">
        <v>159</v>
      </c>
      <c r="E26" s="14" t="s">
        <v>159</v>
      </c>
      <c r="F26" s="14"/>
    </row>
    <row r="27" spans="1:6">
      <c r="A27" s="7">
        <v>25</v>
      </c>
      <c r="B27" s="7">
        <v>25</v>
      </c>
      <c r="C27" t="str">
        <f>VLOOKUP(B27,_Pitch!$A$2:$B$129,2,FALSE)</f>
        <v>C#0</v>
      </c>
      <c r="D27" s="14" t="s">
        <v>160</v>
      </c>
      <c r="E27" s="14" t="s">
        <v>160</v>
      </c>
      <c r="F27" s="14" t="s">
        <v>290</v>
      </c>
    </row>
    <row r="28" spans="1:6">
      <c r="A28" s="7">
        <v>26</v>
      </c>
      <c r="B28" s="7">
        <v>26</v>
      </c>
      <c r="C28" t="str">
        <f>VLOOKUP(B28,_Pitch!$A$2:$B$129,2,FALSE)</f>
        <v>D0</v>
      </c>
      <c r="D28" s="14" t="s">
        <v>161</v>
      </c>
      <c r="E28" s="14" t="s">
        <v>161</v>
      </c>
      <c r="F28" s="14"/>
    </row>
    <row r="29" spans="1:6">
      <c r="A29" s="7">
        <v>27</v>
      </c>
      <c r="B29" s="7">
        <v>27</v>
      </c>
      <c r="C29" t="str">
        <f>VLOOKUP(B29,_Pitch!$A$2:$B$129,2,FALSE)</f>
        <v>D#0</v>
      </c>
      <c r="D29" s="14" t="s">
        <v>423</v>
      </c>
      <c r="E29" s="14" t="s">
        <v>206</v>
      </c>
      <c r="F29" s="14"/>
    </row>
    <row r="30" spans="1:6">
      <c r="A30" s="7">
        <v>28</v>
      </c>
      <c r="B30" s="7">
        <v>28</v>
      </c>
      <c r="C30" t="str">
        <f>VLOOKUP(B30,_Pitch!$A$2:$B$129,2,FALSE)</f>
        <v>E0</v>
      </c>
      <c r="D30" s="14" t="s">
        <v>463</v>
      </c>
      <c r="E30" s="14" t="s">
        <v>209</v>
      </c>
      <c r="F30" s="14" t="s">
        <v>567</v>
      </c>
    </row>
    <row r="31" spans="1:6">
      <c r="A31" s="7">
        <v>29</v>
      </c>
      <c r="B31" s="7">
        <v>29</v>
      </c>
      <c r="C31" t="str">
        <f>VLOOKUP(B31,_Pitch!$A$2:$B$129,2,FALSE)</f>
        <v>F0</v>
      </c>
      <c r="D31" s="14" t="s">
        <v>460</v>
      </c>
      <c r="E31" s="14" t="s">
        <v>178</v>
      </c>
      <c r="F31" s="14"/>
    </row>
    <row r="32" spans="1:6">
      <c r="A32" s="7">
        <v>30</v>
      </c>
      <c r="B32" s="7">
        <v>30</v>
      </c>
      <c r="C32" t="str">
        <f>VLOOKUP(B32,_Pitch!$A$2:$B$129,2,FALSE)</f>
        <v>F#0</v>
      </c>
      <c r="D32" s="14" t="s">
        <v>444</v>
      </c>
      <c r="E32" s="14" t="s">
        <v>180</v>
      </c>
      <c r="F32" s="14"/>
    </row>
    <row r="33" spans="1:6">
      <c r="A33" s="7">
        <v>31</v>
      </c>
      <c r="B33" s="7">
        <v>31</v>
      </c>
      <c r="C33" t="str">
        <f>VLOOKUP(B33,_Pitch!$A$2:$B$129,2,FALSE)</f>
        <v>G0</v>
      </c>
      <c r="D33" s="14" t="s">
        <v>420</v>
      </c>
      <c r="E33" s="14" t="s">
        <v>212</v>
      </c>
      <c r="F33" s="14"/>
    </row>
    <row r="34" spans="1:6">
      <c r="A34" s="7">
        <v>32</v>
      </c>
      <c r="B34" s="7">
        <v>32</v>
      </c>
      <c r="C34" t="str">
        <f>VLOOKUP(B34,_Pitch!$A$2:$B$129,2,FALSE)</f>
        <v>G#0</v>
      </c>
      <c r="D34" s="14" t="s">
        <v>464</v>
      </c>
      <c r="E34" s="14" t="s">
        <v>215</v>
      </c>
      <c r="F34" s="14" t="s">
        <v>567</v>
      </c>
    </row>
    <row r="35" spans="1:6">
      <c r="A35" s="7">
        <v>33</v>
      </c>
      <c r="B35" s="7">
        <v>33</v>
      </c>
      <c r="C35" t="str">
        <f>VLOOKUP(B35,_Pitch!$A$2:$B$129,2,FALSE)</f>
        <v>A0</v>
      </c>
      <c r="D35" s="14" t="s">
        <v>139</v>
      </c>
      <c r="E35" s="14" t="s">
        <v>139</v>
      </c>
      <c r="F35" s="14"/>
    </row>
    <row r="36" spans="1:6">
      <c r="A36" s="7">
        <v>34</v>
      </c>
      <c r="B36" s="7">
        <v>34</v>
      </c>
      <c r="C36" t="str">
        <f>VLOOKUP(B36,_Pitch!$A$2:$B$129,2,FALSE)</f>
        <v>A#0</v>
      </c>
      <c r="D36" s="14" t="s">
        <v>133</v>
      </c>
      <c r="E36" s="14" t="s">
        <v>133</v>
      </c>
      <c r="F36" s="14" t="s">
        <v>290</v>
      </c>
    </row>
    <row r="37" spans="1:6">
      <c r="A37" s="7">
        <v>35</v>
      </c>
      <c r="B37" s="7">
        <v>35</v>
      </c>
      <c r="C37" t="str">
        <f>VLOOKUP(B37,_Pitch!$A$2:$B$129,2,FALSE)</f>
        <v>B0</v>
      </c>
      <c r="D37" s="14" t="s">
        <v>135</v>
      </c>
      <c r="E37" s="14" t="s">
        <v>135</v>
      </c>
      <c r="F37" s="14"/>
    </row>
    <row r="38" spans="1:6">
      <c r="A38" s="7">
        <v>36</v>
      </c>
      <c r="B38" s="7">
        <v>36</v>
      </c>
      <c r="C38" t="str">
        <f>VLOOKUP(B38,_Pitch!$A$2:$B$129,2,FALSE)</f>
        <v>C1</v>
      </c>
      <c r="D38" s="14" t="s">
        <v>133</v>
      </c>
      <c r="E38" s="14" t="s">
        <v>133</v>
      </c>
      <c r="F38" s="14"/>
    </row>
    <row r="39" spans="1:6">
      <c r="A39" s="7">
        <v>37</v>
      </c>
      <c r="B39" s="7">
        <v>37</v>
      </c>
      <c r="C39" t="str">
        <f>VLOOKUP(B39,_Pitch!$A$2:$B$129,2,FALSE)</f>
        <v>C#1</v>
      </c>
      <c r="D39" s="14" t="s">
        <v>145</v>
      </c>
      <c r="E39" s="14" t="s">
        <v>145</v>
      </c>
      <c r="F39" s="14"/>
    </row>
    <row r="40" spans="1:6">
      <c r="A40" s="7">
        <v>38</v>
      </c>
      <c r="B40" s="7">
        <v>38</v>
      </c>
      <c r="C40" t="str">
        <f>VLOOKUP(B40,_Pitch!$A$2:$B$129,2,FALSE)</f>
        <v>D1</v>
      </c>
      <c r="D40" s="14" t="s">
        <v>136</v>
      </c>
      <c r="E40" s="14" t="s">
        <v>561</v>
      </c>
      <c r="F40" s="14"/>
    </row>
    <row r="41" spans="1:6">
      <c r="A41" s="7">
        <v>39</v>
      </c>
      <c r="B41" s="7">
        <v>39</v>
      </c>
      <c r="C41" t="str">
        <f>VLOOKUP(B41,_Pitch!$A$2:$B$129,2,FALSE)</f>
        <v>D#1</v>
      </c>
      <c r="D41" s="14" t="s">
        <v>141</v>
      </c>
      <c r="E41" s="14" t="s">
        <v>565</v>
      </c>
      <c r="F41" s="14" t="s">
        <v>567</v>
      </c>
    </row>
    <row r="42" spans="1:6">
      <c r="A42" s="7">
        <v>40</v>
      </c>
      <c r="B42" s="7">
        <v>40</v>
      </c>
      <c r="C42" t="str">
        <f>VLOOKUP(B42,_Pitch!$A$2:$B$129,2,FALSE)</f>
        <v>E1</v>
      </c>
      <c r="D42" s="14" t="s">
        <v>234</v>
      </c>
      <c r="E42" s="14" t="s">
        <v>1077</v>
      </c>
      <c r="F42" s="14"/>
    </row>
    <row r="43" spans="1:6">
      <c r="A43" s="7">
        <v>41</v>
      </c>
      <c r="B43" s="7">
        <v>41</v>
      </c>
      <c r="C43" t="str">
        <f>VLOOKUP(B43,_Pitch!$A$2:$B$129,2,FALSE)</f>
        <v>F1</v>
      </c>
      <c r="D43" s="14" t="s">
        <v>201</v>
      </c>
      <c r="E43" s="14" t="s">
        <v>557</v>
      </c>
      <c r="F43" s="14"/>
    </row>
    <row r="44" spans="1:6">
      <c r="A44" s="7">
        <v>42</v>
      </c>
      <c r="B44" s="7">
        <v>42</v>
      </c>
      <c r="C44" t="str">
        <f>VLOOKUP(B44,_Pitch!$A$2:$B$129,2,FALSE)</f>
        <v>F#1</v>
      </c>
      <c r="D44" s="14" t="s">
        <v>153</v>
      </c>
      <c r="E44" s="14" t="s">
        <v>153</v>
      </c>
      <c r="F44" s="14"/>
    </row>
    <row r="45" spans="1:6">
      <c r="A45" s="7">
        <v>43</v>
      </c>
      <c r="B45" s="7">
        <v>43</v>
      </c>
      <c r="C45" t="str">
        <f>VLOOKUP(B45,_Pitch!$A$2:$B$129,2,FALSE)</f>
        <v>G1</v>
      </c>
      <c r="D45" s="14" t="s">
        <v>196</v>
      </c>
      <c r="E45" s="14" t="s">
        <v>558</v>
      </c>
      <c r="F45" s="14"/>
    </row>
    <row r="46" spans="1:6">
      <c r="A46" s="7">
        <v>44</v>
      </c>
      <c r="B46" s="7">
        <v>44</v>
      </c>
      <c r="C46" t="str">
        <f>VLOOKUP(B46,_Pitch!$A$2:$B$129,2,FALSE)</f>
        <v>G#1</v>
      </c>
      <c r="D46" s="14" t="s">
        <v>1068</v>
      </c>
      <c r="E46" s="14" t="s">
        <v>1068</v>
      </c>
      <c r="F46" s="14"/>
    </row>
    <row r="47" spans="1:6">
      <c r="A47" s="7">
        <v>45</v>
      </c>
      <c r="B47" s="7">
        <v>45</v>
      </c>
      <c r="C47" t="str">
        <f>VLOOKUP(B47,_Pitch!$A$2:$B$129,2,FALSE)</f>
        <v>A1</v>
      </c>
      <c r="D47" s="14" t="s">
        <v>1010</v>
      </c>
      <c r="E47" s="14" t="s">
        <v>239</v>
      </c>
      <c r="F47" s="14"/>
    </row>
    <row r="48" spans="1:6">
      <c r="A48" s="7">
        <v>46</v>
      </c>
      <c r="B48" s="7">
        <v>46</v>
      </c>
      <c r="C48" t="str">
        <f>VLOOKUP(B48,_Pitch!$A$2:$B$129,2,FALSE)</f>
        <v>A#1</v>
      </c>
      <c r="D48" s="14" t="s">
        <v>160</v>
      </c>
      <c r="E48" s="14" t="s">
        <v>160</v>
      </c>
      <c r="F48" s="14"/>
    </row>
    <row r="49" spans="1:6">
      <c r="A49" s="7">
        <v>47</v>
      </c>
      <c r="B49" s="7">
        <v>47</v>
      </c>
      <c r="C49" t="str">
        <f>VLOOKUP(B49,_Pitch!$A$2:$B$129,2,FALSE)</f>
        <v>B1</v>
      </c>
      <c r="D49" s="14" t="s">
        <v>1005</v>
      </c>
      <c r="E49" s="14" t="s">
        <v>559</v>
      </c>
      <c r="F49" s="14"/>
    </row>
    <row r="50" spans="1:6">
      <c r="A50" s="7">
        <v>48</v>
      </c>
      <c r="B50" s="7">
        <v>48</v>
      </c>
      <c r="C50" t="str">
        <f>VLOOKUP(B50,_Pitch!$A$2:$B$129,2,FALSE)</f>
        <v>C2</v>
      </c>
      <c r="D50" s="14" t="s">
        <v>1000</v>
      </c>
      <c r="E50" s="14" t="s">
        <v>560</v>
      </c>
      <c r="F50" s="14"/>
    </row>
    <row r="51" spans="1:6">
      <c r="A51" s="7">
        <v>49</v>
      </c>
      <c r="B51" s="7">
        <v>49</v>
      </c>
      <c r="C51" t="str">
        <f>VLOOKUP(B51,_Pitch!$A$2:$B$129,2,FALSE)</f>
        <v>C#2</v>
      </c>
      <c r="D51" s="14" t="s">
        <v>414</v>
      </c>
      <c r="E51" s="14" t="s">
        <v>568</v>
      </c>
      <c r="F51" s="14"/>
    </row>
    <row r="52" spans="1:6">
      <c r="A52" s="7">
        <v>50</v>
      </c>
      <c r="B52" s="7">
        <v>50</v>
      </c>
      <c r="C52" t="str">
        <f>VLOOKUP(B52,_Pitch!$A$2:$B$129,2,FALSE)</f>
        <v>D2</v>
      </c>
      <c r="D52" s="14" t="s">
        <v>413</v>
      </c>
      <c r="E52" s="14" t="s">
        <v>210</v>
      </c>
      <c r="F52" s="14"/>
    </row>
    <row r="53" spans="1:6">
      <c r="A53" s="7">
        <v>51</v>
      </c>
      <c r="B53" s="7">
        <v>51</v>
      </c>
      <c r="C53" t="str">
        <f>VLOOKUP(B53,_Pitch!$A$2:$B$129,2,FALSE)</f>
        <v>D#2</v>
      </c>
      <c r="D53" s="14" t="s">
        <v>461</v>
      </c>
      <c r="E53" s="14" t="s">
        <v>175</v>
      </c>
      <c r="F53" s="14"/>
    </row>
    <row r="54" spans="1:6">
      <c r="A54" s="7">
        <v>52</v>
      </c>
      <c r="B54" s="7">
        <v>52</v>
      </c>
      <c r="C54" t="str">
        <f>VLOOKUP(B54,_Pitch!$A$2:$B$129,2,FALSE)</f>
        <v>E2</v>
      </c>
      <c r="D54" s="14" t="s">
        <v>407</v>
      </c>
      <c r="E54" s="14" t="s">
        <v>905</v>
      </c>
      <c r="F54" s="14"/>
    </row>
    <row r="55" spans="1:6">
      <c r="A55" s="7">
        <v>53</v>
      </c>
      <c r="B55" s="7">
        <v>53</v>
      </c>
      <c r="C55" t="str">
        <f>VLOOKUP(B55,_Pitch!$A$2:$B$129,2,FALSE)</f>
        <v>F2</v>
      </c>
      <c r="D55" s="14" t="s">
        <v>443</v>
      </c>
      <c r="E55" s="14" t="s">
        <v>181</v>
      </c>
      <c r="F55" s="14"/>
    </row>
    <row r="56" spans="1:6">
      <c r="A56" s="7">
        <v>54</v>
      </c>
      <c r="B56" s="7">
        <v>54</v>
      </c>
      <c r="C56" t="str">
        <f>VLOOKUP(B56,_Pitch!$A$2:$B$129,2,FALSE)</f>
        <v>F#2</v>
      </c>
      <c r="D56" s="14" t="s">
        <v>411</v>
      </c>
      <c r="E56" s="14" t="s">
        <v>919</v>
      </c>
      <c r="F56" s="14"/>
    </row>
    <row r="57" spans="1:6">
      <c r="A57" s="7">
        <v>55</v>
      </c>
      <c r="B57" s="7">
        <v>55</v>
      </c>
      <c r="C57" t="str">
        <f>VLOOKUP(B57,_Pitch!$A$2:$B$129,2,FALSE)</f>
        <v>G2</v>
      </c>
      <c r="D57" s="14" t="s">
        <v>904</v>
      </c>
      <c r="E57" s="14" t="s">
        <v>904</v>
      </c>
      <c r="F57" s="14"/>
    </row>
    <row r="58" spans="1:6">
      <c r="A58" s="7">
        <v>56</v>
      </c>
      <c r="B58" s="7">
        <v>56</v>
      </c>
      <c r="C58" t="str">
        <f>VLOOKUP(B58,_Pitch!$A$2:$B$129,2,FALSE)</f>
        <v>G#2</v>
      </c>
      <c r="D58" s="14" t="s">
        <v>410</v>
      </c>
      <c r="E58" s="14" t="s">
        <v>914</v>
      </c>
      <c r="F58" s="14"/>
    </row>
    <row r="59" spans="1:6">
      <c r="A59" s="7">
        <v>57</v>
      </c>
      <c r="B59" s="7">
        <v>57</v>
      </c>
      <c r="C59" t="str">
        <f>VLOOKUP(B59,_Pitch!$A$2:$B$129,2,FALSE)</f>
        <v>A2</v>
      </c>
      <c r="D59" s="14" t="s">
        <v>404</v>
      </c>
      <c r="E59" s="14" t="s">
        <v>569</v>
      </c>
      <c r="F59" s="14"/>
    </row>
    <row r="60" spans="1:6">
      <c r="A60" s="7">
        <v>58</v>
      </c>
      <c r="B60" s="7">
        <v>58</v>
      </c>
      <c r="C60" t="str">
        <f>VLOOKUP(B60,_Pitch!$A$2:$B$129,2,FALSE)</f>
        <v>A#2</v>
      </c>
      <c r="D60" s="14" t="s">
        <v>408</v>
      </c>
      <c r="E60" s="14" t="s">
        <v>216</v>
      </c>
      <c r="F60" s="14"/>
    </row>
    <row r="61" spans="1:6">
      <c r="A61" s="7">
        <v>59</v>
      </c>
      <c r="B61" s="7">
        <v>59</v>
      </c>
      <c r="C61" t="str">
        <f>VLOOKUP(B61,_Pitch!$A$2:$B$129,2,FALSE)</f>
        <v>B2</v>
      </c>
      <c r="D61" s="14" t="s">
        <v>412</v>
      </c>
      <c r="E61" s="14" t="s">
        <v>182</v>
      </c>
      <c r="F61" s="14"/>
    </row>
    <row r="62" spans="1:6">
      <c r="A62" s="7">
        <v>60</v>
      </c>
      <c r="B62" s="7">
        <v>60</v>
      </c>
      <c r="C62" t="str">
        <f>VLOOKUP(B62,_Pitch!$A$2:$B$129,2,FALSE)</f>
        <v>C3</v>
      </c>
      <c r="D62" s="14" t="s">
        <v>162</v>
      </c>
      <c r="E62" s="14" t="s">
        <v>162</v>
      </c>
      <c r="F62" s="14"/>
    </row>
    <row r="63" spans="1:6">
      <c r="A63" s="7">
        <v>61</v>
      </c>
      <c r="B63" s="7">
        <v>61</v>
      </c>
      <c r="C63" t="str">
        <f>VLOOKUP(B63,_Pitch!$A$2:$B$129,2,FALSE)</f>
        <v>C#3</v>
      </c>
      <c r="D63" s="14" t="s">
        <v>153</v>
      </c>
      <c r="E63" s="14" t="s">
        <v>153</v>
      </c>
      <c r="F63" s="14" t="s">
        <v>290</v>
      </c>
    </row>
    <row r="64" spans="1:6">
      <c r="A64" s="7">
        <v>62</v>
      </c>
      <c r="B64" s="7">
        <v>62</v>
      </c>
      <c r="C64" t="str">
        <f>VLOOKUP(B64,_Pitch!$A$2:$B$129,2,FALSE)</f>
        <v>D3</v>
      </c>
      <c r="D64" s="14" t="s">
        <v>151</v>
      </c>
      <c r="E64" s="14" t="s">
        <v>151</v>
      </c>
      <c r="F64" s="14"/>
    </row>
    <row r="65" spans="1:6">
      <c r="A65" s="7">
        <v>63</v>
      </c>
      <c r="B65" s="7">
        <v>63</v>
      </c>
      <c r="C65" t="str">
        <f>VLOOKUP(B65,_Pitch!$A$2:$B$129,2,FALSE)</f>
        <v>D#3</v>
      </c>
      <c r="D65" s="14" t="s">
        <v>154</v>
      </c>
      <c r="E65" s="14" t="s">
        <v>154</v>
      </c>
      <c r="F65" s="14"/>
    </row>
    <row r="66" spans="1:6">
      <c r="A66" s="7">
        <v>64</v>
      </c>
      <c r="B66" s="7">
        <v>64</v>
      </c>
      <c r="C66" t="str">
        <f>VLOOKUP(B66,_Pitch!$A$2:$B$129,2,FALSE)</f>
        <v>E3</v>
      </c>
      <c r="D66" s="14" t="s">
        <v>156</v>
      </c>
      <c r="E66" s="14" t="s">
        <v>156</v>
      </c>
      <c r="F66" s="14"/>
    </row>
    <row r="67" spans="1:6">
      <c r="A67" s="7">
        <v>65</v>
      </c>
      <c r="B67" s="7">
        <v>65</v>
      </c>
      <c r="C67" t="str">
        <f>VLOOKUP(B67,_Pitch!$A$2:$B$129,2,FALSE)</f>
        <v>F3</v>
      </c>
      <c r="D67" s="14" t="s">
        <v>149</v>
      </c>
      <c r="E67" s="14" t="s">
        <v>152</v>
      </c>
      <c r="F67" s="14" t="s">
        <v>567</v>
      </c>
    </row>
    <row r="68" spans="1:6">
      <c r="A68" s="7">
        <v>66</v>
      </c>
      <c r="B68" s="7">
        <v>66</v>
      </c>
      <c r="C68" t="str">
        <f>VLOOKUP(B68,_Pitch!$A$2:$B$129,2,FALSE)</f>
        <v>F#3</v>
      </c>
      <c r="D68" s="14" t="s">
        <v>136</v>
      </c>
      <c r="E68" s="14" t="s">
        <v>561</v>
      </c>
      <c r="F68" s="14" t="s">
        <v>290</v>
      </c>
    </row>
    <row r="69" spans="1:6">
      <c r="A69" s="7">
        <v>67</v>
      </c>
      <c r="B69" s="7">
        <v>67</v>
      </c>
      <c r="C69" t="str">
        <f>VLOOKUP(B69,_Pitch!$A$2:$B$129,2,FALSE)</f>
        <v>G3</v>
      </c>
      <c r="D69" s="14" t="s">
        <v>145</v>
      </c>
      <c r="E69" s="14" t="s">
        <v>145</v>
      </c>
      <c r="F69" s="14" t="s">
        <v>290</v>
      </c>
    </row>
    <row r="70" spans="1:6">
      <c r="A70" s="7">
        <v>68</v>
      </c>
      <c r="B70" s="7">
        <v>68</v>
      </c>
      <c r="C70" t="str">
        <f>VLOOKUP(B70,_Pitch!$A$2:$B$129,2,FALSE)</f>
        <v>G#3</v>
      </c>
      <c r="D70" s="14" t="s">
        <v>136</v>
      </c>
      <c r="E70" s="14" t="s">
        <v>561</v>
      </c>
      <c r="F70" s="14" t="s">
        <v>290</v>
      </c>
    </row>
    <row r="71" spans="1:6">
      <c r="A71" s="7">
        <v>69</v>
      </c>
      <c r="B71" s="7">
        <v>69</v>
      </c>
      <c r="C71" t="str">
        <f>VLOOKUP(B71,_Pitch!$A$2:$B$129,2,FALSE)</f>
        <v>A3</v>
      </c>
      <c r="D71" s="14" t="s">
        <v>140</v>
      </c>
      <c r="E71" s="14" t="s">
        <v>140</v>
      </c>
      <c r="F71" s="14" t="s">
        <v>567</v>
      </c>
    </row>
    <row r="72" spans="1:6">
      <c r="A72" s="7">
        <v>70</v>
      </c>
      <c r="B72" s="7">
        <v>70</v>
      </c>
      <c r="C72" t="str">
        <f>VLOOKUP(B72,_Pitch!$A$2:$B$129,2,FALSE)</f>
        <v>A#3</v>
      </c>
      <c r="D72" s="14" t="s">
        <v>136</v>
      </c>
      <c r="E72" s="14" t="s">
        <v>561</v>
      </c>
      <c r="F72" s="14" t="s">
        <v>290</v>
      </c>
    </row>
    <row r="73" spans="1:6">
      <c r="A73" s="7">
        <v>71</v>
      </c>
      <c r="B73" s="7">
        <v>71</v>
      </c>
      <c r="C73" t="str">
        <f>VLOOKUP(B73,_Pitch!$A$2:$B$129,2,FALSE)</f>
        <v>B3</v>
      </c>
      <c r="D73" s="14" t="s">
        <v>144</v>
      </c>
      <c r="E73" s="14" t="s">
        <v>144</v>
      </c>
      <c r="F73" s="14"/>
    </row>
    <row r="74" spans="1:6">
      <c r="A74" s="7">
        <v>72</v>
      </c>
      <c r="B74" s="7">
        <v>72</v>
      </c>
      <c r="C74" t="str">
        <f>VLOOKUP(B74,_Pitch!$A$2:$B$129,2,FALSE)</f>
        <v>C4</v>
      </c>
      <c r="D74" s="14" t="s">
        <v>204</v>
      </c>
      <c r="E74" s="14" t="s">
        <v>204</v>
      </c>
      <c r="F74" s="14" t="s">
        <v>567</v>
      </c>
    </row>
    <row r="75" spans="1:6">
      <c r="A75" s="7">
        <v>73</v>
      </c>
      <c r="B75" s="7">
        <v>73</v>
      </c>
      <c r="C75" t="str">
        <f>VLOOKUP(B75,_Pitch!$A$2:$B$129,2,FALSE)</f>
        <v>C#4</v>
      </c>
      <c r="D75" s="14" t="s">
        <v>203</v>
      </c>
      <c r="E75" s="14" t="s">
        <v>203</v>
      </c>
      <c r="F75" s="14" t="s">
        <v>567</v>
      </c>
    </row>
    <row r="76" spans="1:6">
      <c r="A76" s="7">
        <v>74</v>
      </c>
      <c r="B76" s="7">
        <v>74</v>
      </c>
      <c r="C76" t="str">
        <f>VLOOKUP(B76,_Pitch!$A$2:$B$129,2,FALSE)</f>
        <v>D4</v>
      </c>
      <c r="D76" s="14" t="s">
        <v>199</v>
      </c>
      <c r="E76" s="14" t="s">
        <v>199</v>
      </c>
      <c r="F76" s="14" t="s">
        <v>567</v>
      </c>
    </row>
    <row r="77" spans="1:6">
      <c r="A77" s="7">
        <v>75</v>
      </c>
      <c r="B77" s="7">
        <v>75</v>
      </c>
      <c r="C77" t="str">
        <f>VLOOKUP(B77,_Pitch!$A$2:$B$129,2,FALSE)</f>
        <v>D#4</v>
      </c>
      <c r="D77" s="14" t="s">
        <v>198</v>
      </c>
      <c r="E77" s="14" t="s">
        <v>198</v>
      </c>
      <c r="F77" s="14"/>
    </row>
    <row r="78" spans="1:6">
      <c r="A78" s="7">
        <v>76</v>
      </c>
      <c r="B78" s="7">
        <v>76</v>
      </c>
      <c r="C78" t="str">
        <f>VLOOKUP(B78,_Pitch!$A$2:$B$129,2,FALSE)</f>
        <v>E4</v>
      </c>
      <c r="D78" s="14" t="s">
        <v>144</v>
      </c>
      <c r="E78" s="14" t="s">
        <v>144</v>
      </c>
      <c r="F78" s="14" t="s">
        <v>290</v>
      </c>
    </row>
    <row r="79" spans="1:6">
      <c r="A79" s="7">
        <v>77</v>
      </c>
      <c r="B79" s="7">
        <v>77</v>
      </c>
      <c r="C79" t="str">
        <f>VLOOKUP(B79,_Pitch!$A$2:$B$129,2,FALSE)</f>
        <v>F4</v>
      </c>
      <c r="D79" s="14" t="s">
        <v>1009</v>
      </c>
      <c r="E79" s="14" t="s">
        <v>1009</v>
      </c>
      <c r="F79" s="14" t="s">
        <v>567</v>
      </c>
    </row>
    <row r="80" spans="1:6">
      <c r="A80" s="7">
        <v>78</v>
      </c>
      <c r="B80" s="7">
        <v>78</v>
      </c>
      <c r="C80" t="str">
        <f>VLOOKUP(B80,_Pitch!$A$2:$B$129,2,FALSE)</f>
        <v>F#4</v>
      </c>
      <c r="D80" s="14" t="s">
        <v>193</v>
      </c>
      <c r="E80" s="14" t="s">
        <v>193</v>
      </c>
      <c r="F80" s="14"/>
    </row>
    <row r="81" spans="1:6">
      <c r="A81" s="7">
        <v>79</v>
      </c>
      <c r="B81" s="7">
        <v>79</v>
      </c>
      <c r="C81" t="str">
        <f>VLOOKUP(B81,_Pitch!$A$2:$B$129,2,FALSE)</f>
        <v>G4</v>
      </c>
      <c r="D81" s="14" t="s">
        <v>1003</v>
      </c>
      <c r="E81" s="14" t="s">
        <v>1003</v>
      </c>
      <c r="F81" s="14" t="s">
        <v>567</v>
      </c>
    </row>
    <row r="82" spans="1:6">
      <c r="A82" s="7">
        <v>80</v>
      </c>
      <c r="B82" s="7">
        <v>80</v>
      </c>
      <c r="C82" t="str">
        <f>VLOOKUP(B82,_Pitch!$A$2:$B$129,2,FALSE)</f>
        <v>G#4</v>
      </c>
      <c r="D82" s="14" t="s">
        <v>191</v>
      </c>
      <c r="E82" s="14" t="s">
        <v>191</v>
      </c>
      <c r="F82" s="14"/>
    </row>
    <row r="83" spans="1:6">
      <c r="A83" s="7">
        <v>81</v>
      </c>
      <c r="B83" s="7">
        <v>81</v>
      </c>
      <c r="C83" t="str">
        <f>VLOOKUP(B83,_Pitch!$A$2:$B$129,2,FALSE)</f>
        <v>A4</v>
      </c>
      <c r="D83" s="14" t="s">
        <v>998</v>
      </c>
      <c r="E83" s="14" t="s">
        <v>998</v>
      </c>
      <c r="F83" s="14" t="s">
        <v>567</v>
      </c>
    </row>
    <row r="84" spans="1:6">
      <c r="A84" s="7">
        <v>82</v>
      </c>
      <c r="B84" s="7">
        <v>82</v>
      </c>
      <c r="C84" t="str">
        <f>VLOOKUP(B84,_Pitch!$A$2:$B$129,2,FALSE)</f>
        <v>A#4</v>
      </c>
      <c r="D84" s="14" t="s">
        <v>189</v>
      </c>
      <c r="E84" s="14" t="s">
        <v>189</v>
      </c>
      <c r="F84" s="14"/>
    </row>
    <row r="85" spans="1:6">
      <c r="A85" s="7">
        <v>83</v>
      </c>
      <c r="B85" s="7">
        <v>83</v>
      </c>
      <c r="C85" t="str">
        <f>VLOOKUP(B85,_Pitch!$A$2:$B$129,2,FALSE)</f>
        <v>B4</v>
      </c>
      <c r="D85" s="14" t="s">
        <v>413</v>
      </c>
      <c r="E85" s="14" t="s">
        <v>210</v>
      </c>
      <c r="F85" s="14" t="s">
        <v>290</v>
      </c>
    </row>
    <row r="86" spans="1:6">
      <c r="A86" s="7">
        <v>84</v>
      </c>
      <c r="B86" s="7">
        <v>84</v>
      </c>
      <c r="C86" t="str">
        <f>VLOOKUP(B86,_Pitch!$A$2:$B$129,2,FALSE)</f>
        <v>C5</v>
      </c>
      <c r="D86" s="14" t="s">
        <v>423</v>
      </c>
      <c r="E86" s="14" t="s">
        <v>206</v>
      </c>
      <c r="F86" s="14" t="s">
        <v>290</v>
      </c>
    </row>
    <row r="87" spans="1:6">
      <c r="A87" s="7">
        <v>85</v>
      </c>
      <c r="B87" s="7">
        <v>85</v>
      </c>
      <c r="C87" t="str">
        <f>VLOOKUP(B87,_Pitch!$A$2:$B$129,2,FALSE)</f>
        <v>C#5</v>
      </c>
      <c r="D87" s="14" t="s">
        <v>463</v>
      </c>
      <c r="E87" s="14" t="s">
        <v>209</v>
      </c>
      <c r="F87" s="14" t="s">
        <v>290</v>
      </c>
    </row>
    <row r="88" spans="1:6">
      <c r="A88" s="7">
        <v>86</v>
      </c>
      <c r="B88" s="7">
        <v>86</v>
      </c>
      <c r="C88" t="str">
        <f>VLOOKUP(B88,_Pitch!$A$2:$B$129,2,FALSE)</f>
        <v>D5</v>
      </c>
      <c r="D88" s="14" t="s">
        <v>414</v>
      </c>
      <c r="E88" s="14" t="s">
        <v>568</v>
      </c>
      <c r="F88" s="14" t="s">
        <v>290</v>
      </c>
    </row>
    <row r="89" spans="1:6">
      <c r="A89" s="7">
        <v>87</v>
      </c>
      <c r="B89" s="7">
        <v>87</v>
      </c>
      <c r="C89" t="str">
        <f>VLOOKUP(B89,_Pitch!$A$2:$B$129,2,FALSE)</f>
        <v>D#5</v>
      </c>
      <c r="D89" s="14" t="s">
        <v>465</v>
      </c>
      <c r="E89" s="14" t="s">
        <v>207</v>
      </c>
      <c r="F89" s="14" t="s">
        <v>567</v>
      </c>
    </row>
    <row r="90" spans="1:6">
      <c r="A90" s="7">
        <v>88</v>
      </c>
      <c r="B90" s="7">
        <v>88</v>
      </c>
      <c r="C90" t="str">
        <f>VLOOKUP(B90,_Pitch!$A$2:$B$129,2,FALSE)</f>
        <v>E5</v>
      </c>
      <c r="D90" s="14" t="s">
        <v>466</v>
      </c>
      <c r="E90" s="14" t="s">
        <v>208</v>
      </c>
      <c r="F90" s="14" t="s">
        <v>567</v>
      </c>
    </row>
    <row r="91" spans="1:6">
      <c r="A91" s="7">
        <v>89</v>
      </c>
      <c r="B91" s="7">
        <v>89</v>
      </c>
      <c r="C91" t="str">
        <f>VLOOKUP(B91,_Pitch!$A$2:$B$129,2,FALSE)</f>
        <v>F5</v>
      </c>
      <c r="D91" s="14" t="s">
        <v>423</v>
      </c>
      <c r="E91" s="14" t="s">
        <v>206</v>
      </c>
      <c r="F91" s="14" t="s">
        <v>290</v>
      </c>
    </row>
    <row r="92" spans="1:6">
      <c r="A92" s="7">
        <v>90</v>
      </c>
      <c r="B92" s="7">
        <v>90</v>
      </c>
      <c r="C92" t="str">
        <f>VLOOKUP(B92,_Pitch!$A$2:$B$129,2,FALSE)</f>
        <v>F#5</v>
      </c>
      <c r="D92" s="14" t="s">
        <v>463</v>
      </c>
      <c r="E92" s="14" t="s">
        <v>209</v>
      </c>
      <c r="F92" s="14" t="s">
        <v>290</v>
      </c>
    </row>
    <row r="93" spans="1:6">
      <c r="A93" s="7">
        <v>91</v>
      </c>
      <c r="B93" s="7">
        <v>91</v>
      </c>
      <c r="C93" t="str">
        <f>VLOOKUP(B93,_Pitch!$A$2:$B$129,2,FALSE)</f>
        <v>G5</v>
      </c>
      <c r="D93" s="14" t="s">
        <v>414</v>
      </c>
      <c r="E93" s="14" t="s">
        <v>568</v>
      </c>
      <c r="F93" s="14" t="s">
        <v>290</v>
      </c>
    </row>
    <row r="94" spans="1:6">
      <c r="A94" s="7">
        <v>92</v>
      </c>
      <c r="B94" s="7">
        <v>92</v>
      </c>
      <c r="C94" t="str">
        <f>VLOOKUP(B94,_Pitch!$A$2:$B$129,2,FALSE)</f>
        <v>G#5</v>
      </c>
      <c r="D94" s="14" t="s">
        <v>465</v>
      </c>
      <c r="E94" s="14" t="s">
        <v>207</v>
      </c>
      <c r="F94" s="14" t="s">
        <v>290</v>
      </c>
    </row>
    <row r="95" spans="1:6">
      <c r="A95" s="7">
        <v>93</v>
      </c>
      <c r="B95" s="7">
        <v>93</v>
      </c>
      <c r="C95" t="str">
        <f>VLOOKUP(B95,_Pitch!$A$2:$B$129,2,FALSE)</f>
        <v>A5</v>
      </c>
      <c r="D95" s="14" t="s">
        <v>466</v>
      </c>
      <c r="E95" s="14" t="s">
        <v>208</v>
      </c>
      <c r="F95" s="14" t="s">
        <v>290</v>
      </c>
    </row>
    <row r="96" spans="1:6">
      <c r="A96" s="7">
        <v>94</v>
      </c>
      <c r="B96" s="7">
        <v>94</v>
      </c>
      <c r="C96" t="str">
        <f>VLOOKUP(B96,_Pitch!$A$2:$B$129,2,FALSE)</f>
        <v>A#5</v>
      </c>
      <c r="D96" s="14" t="s">
        <v>413</v>
      </c>
      <c r="E96" s="14" t="s">
        <v>210</v>
      </c>
      <c r="F96" s="14" t="s">
        <v>290</v>
      </c>
    </row>
    <row r="97" spans="1:6">
      <c r="A97" s="7">
        <v>95</v>
      </c>
      <c r="B97" s="7">
        <v>95</v>
      </c>
      <c r="C97" t="str">
        <f>VLOOKUP(B97,_Pitch!$A$2:$B$129,2,FALSE)</f>
        <v>B5</v>
      </c>
      <c r="D97" s="14" t="s">
        <v>408</v>
      </c>
      <c r="E97" s="14" t="s">
        <v>914</v>
      </c>
      <c r="F97" s="14" t="s">
        <v>290</v>
      </c>
    </row>
    <row r="98" spans="1:6">
      <c r="A98" s="7">
        <v>96</v>
      </c>
      <c r="B98" s="7">
        <v>96</v>
      </c>
      <c r="C98" t="str">
        <f>VLOOKUP(B98,_Pitch!$A$2:$B$129,2,FALSE)</f>
        <v>C6</v>
      </c>
      <c r="D98" s="14" t="s">
        <v>420</v>
      </c>
      <c r="E98" s="14" t="s">
        <v>910</v>
      </c>
      <c r="F98" s="14" t="s">
        <v>290</v>
      </c>
    </row>
    <row r="99" spans="1:6">
      <c r="A99" s="7">
        <v>97</v>
      </c>
      <c r="B99" s="7">
        <v>97</v>
      </c>
      <c r="C99" t="str">
        <f>VLOOKUP(B99,_Pitch!$A$2:$B$129,2,FALSE)</f>
        <v>C#6</v>
      </c>
      <c r="D99" s="14" t="s">
        <v>464</v>
      </c>
      <c r="E99" s="14" t="s">
        <v>913</v>
      </c>
      <c r="F99" s="14" t="s">
        <v>290</v>
      </c>
    </row>
    <row r="100" spans="1:6">
      <c r="A100" s="7">
        <v>98</v>
      </c>
      <c r="B100" s="7">
        <v>98</v>
      </c>
      <c r="C100" t="str">
        <f>VLOOKUP(B100,_Pitch!$A$2:$B$129,2,FALSE)</f>
        <v>D6</v>
      </c>
      <c r="D100" s="14" t="s">
        <v>404</v>
      </c>
      <c r="E100" s="14" t="s">
        <v>904</v>
      </c>
      <c r="F100" s="14" t="s">
        <v>290</v>
      </c>
    </row>
    <row r="101" spans="1:6">
      <c r="A101" s="7">
        <v>99</v>
      </c>
      <c r="B101" s="7">
        <v>99</v>
      </c>
      <c r="C101" t="str">
        <f>VLOOKUP(B101,_Pitch!$A$2:$B$129,2,FALSE)</f>
        <v>D#6</v>
      </c>
      <c r="D101" s="14" t="s">
        <v>467</v>
      </c>
      <c r="E101" s="14" t="s">
        <v>911</v>
      </c>
      <c r="F101" s="14" t="s">
        <v>290</v>
      </c>
    </row>
    <row r="102" spans="1:6">
      <c r="A102" s="7">
        <v>100</v>
      </c>
      <c r="B102" s="7">
        <v>100</v>
      </c>
      <c r="C102" t="str">
        <f>VLOOKUP(B102,_Pitch!$A$2:$B$129,2,FALSE)</f>
        <v>E6</v>
      </c>
      <c r="D102" s="14" t="s">
        <v>468</v>
      </c>
      <c r="E102" s="14" t="s">
        <v>912</v>
      </c>
      <c r="F102" s="14" t="s">
        <v>290</v>
      </c>
    </row>
    <row r="103" spans="1:6">
      <c r="A103" s="7">
        <v>101</v>
      </c>
      <c r="B103" s="7">
        <v>101</v>
      </c>
      <c r="C103" t="str">
        <f>VLOOKUP(B103,_Pitch!$A$2:$B$129,2,FALSE)</f>
        <v>F6</v>
      </c>
      <c r="D103" s="14" t="s">
        <v>420</v>
      </c>
      <c r="E103" s="14" t="s">
        <v>212</v>
      </c>
      <c r="F103" s="14" t="s">
        <v>290</v>
      </c>
    </row>
    <row r="104" spans="1:6">
      <c r="A104" s="7">
        <v>102</v>
      </c>
      <c r="B104" s="7">
        <v>102</v>
      </c>
      <c r="C104" t="str">
        <f>VLOOKUP(B104,_Pitch!$A$2:$B$129,2,FALSE)</f>
        <v>F#6</v>
      </c>
      <c r="D104" s="14" t="s">
        <v>464</v>
      </c>
      <c r="E104" s="14" t="s">
        <v>215</v>
      </c>
      <c r="F104" s="14" t="s">
        <v>290</v>
      </c>
    </row>
    <row r="105" spans="1:6">
      <c r="A105" s="7">
        <v>103</v>
      </c>
      <c r="B105" s="7">
        <v>103</v>
      </c>
      <c r="C105" t="str">
        <f>VLOOKUP(B105,_Pitch!$A$2:$B$129,2,FALSE)</f>
        <v>G6</v>
      </c>
      <c r="D105" s="14" t="s">
        <v>404</v>
      </c>
      <c r="E105" s="14" t="s">
        <v>569</v>
      </c>
      <c r="F105" s="14" t="s">
        <v>290</v>
      </c>
    </row>
    <row r="106" spans="1:6">
      <c r="A106" s="7">
        <v>104</v>
      </c>
      <c r="B106" s="7">
        <v>104</v>
      </c>
      <c r="C106" t="str">
        <f>VLOOKUP(B106,_Pitch!$A$2:$B$129,2,FALSE)</f>
        <v>G#6</v>
      </c>
      <c r="D106" s="14" t="s">
        <v>467</v>
      </c>
      <c r="E106" s="14" t="s">
        <v>213</v>
      </c>
      <c r="F106" s="14" t="s">
        <v>567</v>
      </c>
    </row>
    <row r="107" spans="1:6">
      <c r="A107" s="7">
        <v>105</v>
      </c>
      <c r="B107" s="7">
        <v>105</v>
      </c>
      <c r="C107" t="str">
        <f>VLOOKUP(B107,_Pitch!$A$2:$B$129,2,FALSE)</f>
        <v>A6</v>
      </c>
      <c r="D107" s="14" t="s">
        <v>468</v>
      </c>
      <c r="E107" s="14" t="s">
        <v>214</v>
      </c>
      <c r="F107" s="14" t="s">
        <v>567</v>
      </c>
    </row>
    <row r="108" spans="1:6">
      <c r="A108" s="7">
        <v>106</v>
      </c>
      <c r="B108" s="7">
        <v>106</v>
      </c>
      <c r="C108" t="str">
        <f>VLOOKUP(B108,_Pitch!$A$2:$B$129,2,FALSE)</f>
        <v>A#6</v>
      </c>
      <c r="D108" s="14" t="s">
        <v>408</v>
      </c>
      <c r="E108" s="14" t="s">
        <v>216</v>
      </c>
      <c r="F108" s="14" t="s">
        <v>290</v>
      </c>
    </row>
    <row r="109" spans="1:6">
      <c r="A109" s="7">
        <v>107</v>
      </c>
      <c r="B109" s="7">
        <v>107</v>
      </c>
      <c r="C109" t="str">
        <f>VLOOKUP(B109,_Pitch!$A$2:$B$129,2,FALSE)</f>
        <v>B6</v>
      </c>
      <c r="D109" s="14" t="s">
        <v>411</v>
      </c>
      <c r="E109" s="14" t="s">
        <v>919</v>
      </c>
      <c r="F109" s="14" t="s">
        <v>290</v>
      </c>
    </row>
    <row r="110" spans="1:6">
      <c r="A110" s="7">
        <v>108</v>
      </c>
      <c r="B110" s="7">
        <v>108</v>
      </c>
      <c r="C110" t="str">
        <f>VLOOKUP(B110,_Pitch!$A$2:$B$129,2,FALSE)</f>
        <v>C7</v>
      </c>
      <c r="D110" s="14" t="s">
        <v>422</v>
      </c>
      <c r="E110" s="14" t="s">
        <v>915</v>
      </c>
      <c r="F110" s="14"/>
    </row>
    <row r="111" spans="1:6">
      <c r="A111" s="7">
        <v>109</v>
      </c>
      <c r="B111" s="7">
        <v>109</v>
      </c>
      <c r="C111" t="str">
        <f>VLOOKUP(B111,_Pitch!$A$2:$B$129,2,FALSE)</f>
        <v>C#7</v>
      </c>
      <c r="D111" s="14" t="s">
        <v>469</v>
      </c>
      <c r="E111" s="14" t="s">
        <v>918</v>
      </c>
      <c r="F111" s="14" t="s">
        <v>567</v>
      </c>
    </row>
    <row r="112" spans="1:6">
      <c r="A112" s="7">
        <v>110</v>
      </c>
      <c r="B112" s="7">
        <v>110</v>
      </c>
      <c r="C112" t="str">
        <f>VLOOKUP(B112,_Pitch!$A$2:$B$129,2,FALSE)</f>
        <v>D7</v>
      </c>
      <c r="D112" s="14" t="s">
        <v>407</v>
      </c>
      <c r="E112" s="14" t="s">
        <v>905</v>
      </c>
      <c r="F112" s="14" t="s">
        <v>290</v>
      </c>
    </row>
    <row r="113" spans="1:6">
      <c r="A113" s="7">
        <v>111</v>
      </c>
      <c r="B113" s="7">
        <v>111</v>
      </c>
      <c r="C113" t="str">
        <f>VLOOKUP(B113,_Pitch!$A$2:$B$129,2,FALSE)</f>
        <v>D#7</v>
      </c>
      <c r="D113" s="14" t="s">
        <v>470</v>
      </c>
      <c r="E113" s="14" t="s">
        <v>916</v>
      </c>
      <c r="F113" s="14" t="s">
        <v>567</v>
      </c>
    </row>
    <row r="114" spans="1:6">
      <c r="A114" s="7">
        <v>112</v>
      </c>
      <c r="B114" s="7">
        <v>112</v>
      </c>
      <c r="C114" t="str">
        <f>VLOOKUP(B114,_Pitch!$A$2:$B$129,2,FALSE)</f>
        <v>E7</v>
      </c>
      <c r="D114" s="14" t="s">
        <v>471</v>
      </c>
      <c r="E114" s="14" t="s">
        <v>917</v>
      </c>
      <c r="F114" s="14" t="s">
        <v>567</v>
      </c>
    </row>
    <row r="115" spans="1:6">
      <c r="A115" s="7">
        <v>113</v>
      </c>
      <c r="B115" s="7">
        <v>113</v>
      </c>
      <c r="C115" t="str">
        <f>VLOOKUP(B115,_Pitch!$A$2:$B$129,2,FALSE)</f>
        <v>F7</v>
      </c>
      <c r="D115" s="14" t="s">
        <v>460</v>
      </c>
      <c r="E115" s="14" t="s">
        <v>175</v>
      </c>
      <c r="F115" s="14" t="s">
        <v>290</v>
      </c>
    </row>
    <row r="116" spans="1:6">
      <c r="A116" s="7">
        <v>114</v>
      </c>
      <c r="B116" s="7">
        <v>114</v>
      </c>
      <c r="C116" t="str">
        <f>VLOOKUP(B116,_Pitch!$A$2:$B$129,2,FALSE)</f>
        <v>F#7</v>
      </c>
      <c r="D116" s="14" t="s">
        <v>443</v>
      </c>
      <c r="E116" s="14" t="s">
        <v>181</v>
      </c>
      <c r="F116" s="14" t="s">
        <v>290</v>
      </c>
    </row>
    <row r="117" spans="1:6">
      <c r="A117" s="7">
        <v>115</v>
      </c>
      <c r="B117" s="7">
        <v>115</v>
      </c>
      <c r="C117" t="str">
        <f>VLOOKUP(B117,_Pitch!$A$2:$B$129,2,FALSE)</f>
        <v>G7</v>
      </c>
      <c r="D117" s="14" t="s">
        <v>412</v>
      </c>
      <c r="E117" s="14" t="s">
        <v>182</v>
      </c>
      <c r="F117" s="14" t="s">
        <v>290</v>
      </c>
    </row>
    <row r="118" spans="1:6">
      <c r="A118" s="7">
        <v>116</v>
      </c>
      <c r="B118" s="7">
        <v>116</v>
      </c>
      <c r="C118" t="str">
        <f>VLOOKUP(B118,_Pitch!$A$2:$B$129,2,FALSE)</f>
        <v>G#7</v>
      </c>
      <c r="D118" s="14" t="s">
        <v>442</v>
      </c>
      <c r="E118" s="14" t="s">
        <v>179</v>
      </c>
      <c r="F118" s="14"/>
    </row>
    <row r="119" spans="1:6">
      <c r="A119" s="7">
        <v>117</v>
      </c>
      <c r="B119" s="7">
        <v>117</v>
      </c>
      <c r="C119" t="str">
        <f>VLOOKUP(B119,_Pitch!$A$2:$B$129,2,FALSE)</f>
        <v>A7</v>
      </c>
      <c r="D119" s="14" t="s">
        <v>444</v>
      </c>
      <c r="E119" s="14" t="s">
        <v>180</v>
      </c>
      <c r="F119" s="14" t="s">
        <v>290</v>
      </c>
    </row>
    <row r="120" spans="1:6">
      <c r="A120" s="7">
        <v>118</v>
      </c>
      <c r="B120" s="7">
        <v>118</v>
      </c>
      <c r="C120" t="str">
        <f>VLOOKUP(B120,_Pitch!$A$2:$B$129,2,FALSE)</f>
        <v>A#7</v>
      </c>
      <c r="D120" s="14" t="s">
        <v>419</v>
      </c>
      <c r="E120" s="14" t="s">
        <v>183</v>
      </c>
      <c r="F120" s="14"/>
    </row>
    <row r="121" spans="1:6">
      <c r="A121" s="7">
        <v>119</v>
      </c>
      <c r="B121" s="7">
        <v>119</v>
      </c>
      <c r="C121" t="str">
        <f>VLOOKUP(B121,_Pitch!$A$2:$B$129,2,FALSE)</f>
        <v>B7</v>
      </c>
      <c r="D121" s="14" t="s">
        <v>155</v>
      </c>
      <c r="E121" s="14" t="s">
        <v>155</v>
      </c>
      <c r="F121" s="14" t="s">
        <v>567</v>
      </c>
    </row>
    <row r="122" spans="1:6">
      <c r="A122" s="7">
        <v>120</v>
      </c>
      <c r="B122" s="7">
        <v>120</v>
      </c>
      <c r="C122" t="str">
        <f>VLOOKUP(B122,_Pitch!$A$2:$B$129,2,FALSE)</f>
        <v>C8</v>
      </c>
      <c r="D122" s="14" t="s">
        <v>170</v>
      </c>
      <c r="E122" s="14" t="s">
        <v>170</v>
      </c>
      <c r="F122" s="14" t="s">
        <v>567</v>
      </c>
    </row>
    <row r="123" spans="1:6">
      <c r="A123" s="7">
        <v>121</v>
      </c>
      <c r="B123" s="7">
        <v>121</v>
      </c>
      <c r="C123" t="str">
        <f>VLOOKUP(B123,_Pitch!$A$2:$B$129,2,FALSE)</f>
        <v>C#8</v>
      </c>
      <c r="D123" s="14" t="s">
        <v>171</v>
      </c>
      <c r="E123" s="14" t="s">
        <v>171</v>
      </c>
      <c r="F123" s="14" t="s">
        <v>567</v>
      </c>
    </row>
    <row r="124" spans="1:6">
      <c r="A124" s="7">
        <v>122</v>
      </c>
      <c r="B124" s="7">
        <v>122</v>
      </c>
      <c r="C124" t="str">
        <f>VLOOKUP(B124,_Pitch!$A$2:$B$129,2,FALSE)</f>
        <v>D8</v>
      </c>
      <c r="D124" s="14" t="s">
        <v>172</v>
      </c>
      <c r="E124" s="14" t="s">
        <v>172</v>
      </c>
      <c r="F124" s="14" t="s">
        <v>567</v>
      </c>
    </row>
    <row r="125" spans="1:6">
      <c r="A125" s="7">
        <v>123</v>
      </c>
      <c r="B125" s="7">
        <v>123</v>
      </c>
      <c r="C125" t="str">
        <f>VLOOKUP(B125,_Pitch!$A$2:$B$129,2,FALSE)</f>
        <v>D#8</v>
      </c>
      <c r="D125" s="14" t="s">
        <v>173</v>
      </c>
      <c r="E125" s="14" t="s">
        <v>173</v>
      </c>
      <c r="F125" s="14" t="s">
        <v>567</v>
      </c>
    </row>
    <row r="126" spans="1:6">
      <c r="A126" s="7">
        <v>124</v>
      </c>
      <c r="B126" s="7">
        <v>124</v>
      </c>
      <c r="C126" t="str">
        <f>VLOOKUP(B126,_Pitch!$A$2:$B$129,2,FALSE)</f>
        <v>E8</v>
      </c>
      <c r="D126" s="14" t="s">
        <v>174</v>
      </c>
      <c r="E126" s="14" t="s">
        <v>174</v>
      </c>
      <c r="F126" s="14" t="s">
        <v>567</v>
      </c>
    </row>
    <row r="127" spans="1:6">
      <c r="A127" s="7">
        <v>125</v>
      </c>
      <c r="B127" s="7">
        <v>125</v>
      </c>
      <c r="C127" t="str">
        <f>VLOOKUP(B127,_Pitch!$A$2:$B$129,2,FALSE)</f>
        <v>F8</v>
      </c>
      <c r="D127" s="14" t="s">
        <v>138</v>
      </c>
      <c r="E127" s="14" t="s">
        <v>138</v>
      </c>
      <c r="F127" s="14"/>
    </row>
    <row r="128" spans="1:6">
      <c r="A128" s="7">
        <v>126</v>
      </c>
      <c r="B128" s="7">
        <v>126</v>
      </c>
      <c r="C128" t="str">
        <f>VLOOKUP(B128,_Pitch!$A$2:$B$129,2,FALSE)</f>
        <v>F#8</v>
      </c>
      <c r="D128" s="14" t="s">
        <v>234</v>
      </c>
      <c r="E128" s="14" t="s">
        <v>1077</v>
      </c>
      <c r="F128" s="14" t="s">
        <v>290</v>
      </c>
    </row>
    <row r="129" spans="1:6">
      <c r="A129" s="7">
        <v>127</v>
      </c>
      <c r="B129" s="7">
        <v>127</v>
      </c>
      <c r="C129" t="str">
        <f>VLOOKUP(B129,_Pitch!$A$2:$B$129,2,FALSE)</f>
        <v>G8</v>
      </c>
      <c r="D129" s="14" t="s">
        <v>145</v>
      </c>
      <c r="E129" s="14" t="s">
        <v>145</v>
      </c>
      <c r="F129" s="14" t="s">
        <v>290</v>
      </c>
    </row>
  </sheetData>
  <autoFilter ref="A1:G129" xr:uid="{9068DEAC-CE4E-4AD6-A8A8-FDF562A7F9B6}"/>
  <phoneticPr fontId="1"/>
  <dataValidations count="1">
    <dataValidation type="list" allowBlank="1" showInputMessage="1" showErrorMessage="1" sqref="F2:F129" xr:uid="{5CC12AEB-48B1-42E7-81D9-222882970AB8}">
      <formula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A2FF5BF6-72E7-4FA1-8031-5E6A11ECAC97}">
          <x14:formula1>
            <xm:f>_Articulation!$B$2:B$158</xm:f>
          </x14:formula1>
          <xm:sqref>E2:E129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3FC1BA-0EAA-491C-9ED8-C96FA2D40963}">
  <sheetPr codeName="Sheet15"/>
  <dimension ref="A1:G129"/>
  <sheetViews>
    <sheetView workbookViewId="0">
      <pane ySplit="1" topLeftCell="A2" activePane="bottomLeft" state="frozen"/>
      <selection activeCell="D14" sqref="D14"/>
      <selection pane="bottomLeft" activeCell="A2" sqref="A2"/>
    </sheetView>
  </sheetViews>
  <sheetFormatPr defaultRowHeight="13.5"/>
  <cols>
    <col min="1" max="1" width="4.5" style="7" bestFit="1" customWidth="1"/>
    <col min="2" max="2" width="4.5" bestFit="1" customWidth="1"/>
    <col min="3" max="3" width="5.5" bestFit="1" customWidth="1"/>
    <col min="4" max="4" width="45.625" customWidth="1"/>
    <col min="5" max="5" width="28.25" customWidth="1"/>
    <col min="6" max="6" width="10.25" customWidth="1"/>
  </cols>
  <sheetData>
    <row r="1" spans="1:7" s="6" customFormat="1" ht="141.75" customHeight="1">
      <c r="A1" s="15" t="s">
        <v>130</v>
      </c>
      <c r="B1" s="15" t="s">
        <v>1105</v>
      </c>
      <c r="C1" s="15" t="s">
        <v>1106</v>
      </c>
      <c r="D1" s="16" t="s">
        <v>131</v>
      </c>
      <c r="E1" s="23" t="s">
        <v>132</v>
      </c>
      <c r="F1" s="17" t="s">
        <v>664</v>
      </c>
      <c r="G1" s="15" t="s">
        <v>696</v>
      </c>
    </row>
    <row r="2" spans="1:7">
      <c r="A2" s="7">
        <v>0</v>
      </c>
      <c r="B2" s="7">
        <v>0</v>
      </c>
      <c r="C2" t="str">
        <f>VLOOKUP(B2,_Pitch!$A$2:$B$129,2,FALSE)</f>
        <v>C-2</v>
      </c>
      <c r="D2" s="14"/>
      <c r="E2" s="14"/>
      <c r="F2" s="14"/>
    </row>
    <row r="3" spans="1:7">
      <c r="A3" s="7">
        <v>1</v>
      </c>
      <c r="B3" s="7">
        <v>1</v>
      </c>
      <c r="C3" t="str">
        <f>VLOOKUP(B3,_Pitch!$A$2:$B$129,2,FALSE)</f>
        <v>C#-2</v>
      </c>
      <c r="D3" s="14"/>
      <c r="E3" s="14"/>
      <c r="F3" s="14"/>
    </row>
    <row r="4" spans="1:7">
      <c r="A4" s="7">
        <v>2</v>
      </c>
      <c r="B4" s="7">
        <v>2</v>
      </c>
      <c r="C4" t="str">
        <f>VLOOKUP(B4,_Pitch!$A$2:$B$129,2,FALSE)</f>
        <v>D-2</v>
      </c>
      <c r="D4" s="14"/>
      <c r="E4" s="14" t="s">
        <v>455</v>
      </c>
      <c r="F4" s="14"/>
    </row>
    <row r="5" spans="1:7">
      <c r="A5" s="7">
        <v>3</v>
      </c>
      <c r="B5" s="7">
        <v>3</v>
      </c>
      <c r="C5" t="str">
        <f>VLOOKUP(B5,_Pitch!$A$2:$B$129,2,FALSE)</f>
        <v>D#-2</v>
      </c>
      <c r="D5" s="14"/>
      <c r="E5" s="14" t="s">
        <v>455</v>
      </c>
      <c r="F5" s="14"/>
    </row>
    <row r="6" spans="1:7">
      <c r="A6" s="7">
        <v>4</v>
      </c>
      <c r="B6" s="7">
        <v>4</v>
      </c>
      <c r="C6" t="str">
        <f>VLOOKUP(B6,_Pitch!$A$2:$B$129,2,FALSE)</f>
        <v>E-2</v>
      </c>
      <c r="D6" s="14"/>
      <c r="E6" s="14" t="s">
        <v>455</v>
      </c>
      <c r="F6" s="14"/>
    </row>
    <row r="7" spans="1:7">
      <c r="A7" s="7">
        <v>5</v>
      </c>
      <c r="B7" s="7">
        <v>5</v>
      </c>
      <c r="C7" t="str">
        <f>VLOOKUP(B7,_Pitch!$A$2:$B$129,2,FALSE)</f>
        <v>F-2</v>
      </c>
      <c r="D7" s="14"/>
      <c r="E7" s="14" t="s">
        <v>455</v>
      </c>
      <c r="F7" s="14"/>
    </row>
    <row r="8" spans="1:7">
      <c r="A8" s="7">
        <v>6</v>
      </c>
      <c r="B8" s="7">
        <v>6</v>
      </c>
      <c r="C8" t="str">
        <f>VLOOKUP(B8,_Pitch!$A$2:$B$129,2,FALSE)</f>
        <v>F#-2</v>
      </c>
      <c r="D8" s="14" t="s">
        <v>400</v>
      </c>
      <c r="E8" s="14"/>
      <c r="F8" s="14"/>
    </row>
    <row r="9" spans="1:7">
      <c r="A9" s="7">
        <v>7</v>
      </c>
      <c r="B9" s="7">
        <v>7</v>
      </c>
      <c r="C9" t="str">
        <f>VLOOKUP(B9,_Pitch!$A$2:$B$129,2,FALSE)</f>
        <v>G-2</v>
      </c>
      <c r="D9" s="14" t="s">
        <v>401</v>
      </c>
      <c r="E9" s="14"/>
      <c r="F9" s="14"/>
    </row>
    <row r="10" spans="1:7">
      <c r="A10" s="7">
        <v>8</v>
      </c>
      <c r="B10" s="7">
        <v>8</v>
      </c>
      <c r="C10" t="str">
        <f>VLOOKUP(B10,_Pitch!$A$2:$B$129,2,FALSE)</f>
        <v>G#-2</v>
      </c>
      <c r="D10" s="14" t="s">
        <v>402</v>
      </c>
      <c r="E10" s="14"/>
      <c r="F10" s="14"/>
    </row>
    <row r="11" spans="1:7">
      <c r="A11" s="7">
        <v>9</v>
      </c>
      <c r="B11" s="7">
        <v>9</v>
      </c>
      <c r="C11" t="str">
        <f>VLOOKUP(B11,_Pitch!$A$2:$B$129,2,FALSE)</f>
        <v>A-2</v>
      </c>
      <c r="D11" s="14" t="s">
        <v>457</v>
      </c>
      <c r="E11" s="14"/>
      <c r="F11" s="14"/>
    </row>
    <row r="12" spans="1:7">
      <c r="A12" s="7">
        <v>10</v>
      </c>
      <c r="B12" s="7">
        <v>10</v>
      </c>
      <c r="C12" t="str">
        <f>VLOOKUP(B12,_Pitch!$A$2:$B$129,2,FALSE)</f>
        <v>A#-2</v>
      </c>
      <c r="D12" s="14" t="s">
        <v>1068</v>
      </c>
      <c r="E12" s="14" t="s">
        <v>1068</v>
      </c>
      <c r="F12" s="14" t="s">
        <v>290</v>
      </c>
    </row>
    <row r="13" spans="1:7">
      <c r="A13" s="7">
        <v>11</v>
      </c>
      <c r="B13" s="7">
        <v>11</v>
      </c>
      <c r="C13" t="str">
        <f>VLOOKUP(B13,_Pitch!$A$2:$B$129,2,FALSE)</f>
        <v>B-2</v>
      </c>
      <c r="D13" s="14" t="s">
        <v>153</v>
      </c>
      <c r="E13" s="14" t="s">
        <v>153</v>
      </c>
      <c r="F13" s="14" t="s">
        <v>290</v>
      </c>
    </row>
    <row r="14" spans="1:7">
      <c r="A14" s="7">
        <v>12</v>
      </c>
      <c r="B14" s="7">
        <v>12</v>
      </c>
      <c r="C14" t="str">
        <f>VLOOKUP(B14,_Pitch!$A$2:$B$129,2,FALSE)</f>
        <v>C-1</v>
      </c>
      <c r="D14" s="14" t="s">
        <v>164</v>
      </c>
      <c r="E14" s="14" t="s">
        <v>164</v>
      </c>
      <c r="F14" s="14"/>
    </row>
    <row r="15" spans="1:7">
      <c r="A15" s="7">
        <v>13</v>
      </c>
      <c r="B15" s="7">
        <v>13</v>
      </c>
      <c r="C15" t="str">
        <f>VLOOKUP(B15,_Pitch!$A$2:$B$129,2,FALSE)</f>
        <v>C#-1</v>
      </c>
      <c r="D15" s="14" t="s">
        <v>165</v>
      </c>
      <c r="E15" s="14" t="s">
        <v>165</v>
      </c>
      <c r="F15" s="14"/>
    </row>
    <row r="16" spans="1:7">
      <c r="A16" s="7">
        <v>14</v>
      </c>
      <c r="B16" s="7">
        <v>14</v>
      </c>
      <c r="C16" t="str">
        <f>VLOOKUP(B16,_Pitch!$A$2:$B$129,2,FALSE)</f>
        <v>D-1</v>
      </c>
      <c r="D16" s="14" t="s">
        <v>166</v>
      </c>
      <c r="E16" s="14" t="s">
        <v>166</v>
      </c>
      <c r="F16" s="14"/>
    </row>
    <row r="17" spans="1:6">
      <c r="A17" s="7">
        <v>15</v>
      </c>
      <c r="B17" s="7">
        <v>15</v>
      </c>
      <c r="C17" t="str">
        <f>VLOOKUP(B17,_Pitch!$A$2:$B$129,2,FALSE)</f>
        <v>D#-1</v>
      </c>
      <c r="D17" s="14" t="s">
        <v>167</v>
      </c>
      <c r="E17" s="14" t="s">
        <v>167</v>
      </c>
      <c r="F17" s="14"/>
    </row>
    <row r="18" spans="1:6">
      <c r="A18" s="7">
        <v>16</v>
      </c>
      <c r="B18" s="7">
        <v>16</v>
      </c>
      <c r="C18" t="str">
        <f>VLOOKUP(B18,_Pitch!$A$2:$B$129,2,FALSE)</f>
        <v>E-1</v>
      </c>
      <c r="D18" s="14" t="s">
        <v>168</v>
      </c>
      <c r="E18" s="14" t="s">
        <v>168</v>
      </c>
      <c r="F18" s="14"/>
    </row>
    <row r="19" spans="1:6">
      <c r="A19" s="7">
        <v>17</v>
      </c>
      <c r="B19" s="7">
        <v>17</v>
      </c>
      <c r="C19" t="str">
        <f>VLOOKUP(B19,_Pitch!$A$2:$B$129,2,FALSE)</f>
        <v>F-1</v>
      </c>
      <c r="D19" s="14" t="s">
        <v>169</v>
      </c>
      <c r="E19" s="14" t="s">
        <v>169</v>
      </c>
      <c r="F19" s="14" t="s">
        <v>567</v>
      </c>
    </row>
    <row r="20" spans="1:6">
      <c r="A20" s="7">
        <v>18</v>
      </c>
      <c r="B20" s="7">
        <v>18</v>
      </c>
      <c r="C20" t="str">
        <f>VLOOKUP(B20,_Pitch!$A$2:$B$129,2,FALSE)</f>
        <v>F#-1</v>
      </c>
      <c r="D20" s="14" t="s">
        <v>401</v>
      </c>
      <c r="E20" s="14"/>
      <c r="F20" s="14"/>
    </row>
    <row r="21" spans="1:6">
      <c r="A21" s="7">
        <v>19</v>
      </c>
      <c r="B21" s="7">
        <v>19</v>
      </c>
      <c r="C21" t="str">
        <f>VLOOKUP(B21,_Pitch!$A$2:$B$129,2,FALSE)</f>
        <v>G-1</v>
      </c>
      <c r="D21" s="14" t="s">
        <v>402</v>
      </c>
      <c r="E21" s="14"/>
      <c r="F21" s="14"/>
    </row>
    <row r="22" spans="1:6">
      <c r="A22" s="7">
        <v>20</v>
      </c>
      <c r="B22" s="7">
        <v>20</v>
      </c>
      <c r="C22" t="str">
        <f>VLOOKUP(B22,_Pitch!$A$2:$B$129,2,FALSE)</f>
        <v>G#-1</v>
      </c>
      <c r="D22" s="14" t="s">
        <v>401</v>
      </c>
      <c r="E22" s="14"/>
      <c r="F22" s="14"/>
    </row>
    <row r="23" spans="1:6">
      <c r="A23" s="7">
        <v>21</v>
      </c>
      <c r="B23" s="7">
        <v>21</v>
      </c>
      <c r="C23" t="str">
        <f>VLOOKUP(B23,_Pitch!$A$2:$B$129,2,FALSE)</f>
        <v>A-1</v>
      </c>
      <c r="D23" s="14" t="s">
        <v>1068</v>
      </c>
      <c r="E23" s="14" t="s">
        <v>1068</v>
      </c>
      <c r="F23" s="14" t="s">
        <v>290</v>
      </c>
    </row>
    <row r="24" spans="1:6">
      <c r="A24" s="7">
        <v>22</v>
      </c>
      <c r="B24" s="7">
        <v>22</v>
      </c>
      <c r="C24" t="str">
        <f>VLOOKUP(B24,_Pitch!$A$2:$B$129,2,FALSE)</f>
        <v>A#-1</v>
      </c>
      <c r="D24" s="14" t="s">
        <v>149</v>
      </c>
      <c r="E24" s="14" t="s">
        <v>149</v>
      </c>
      <c r="F24" s="14"/>
    </row>
    <row r="25" spans="1:6">
      <c r="A25" s="7">
        <v>23</v>
      </c>
      <c r="B25" s="7">
        <v>23</v>
      </c>
      <c r="C25" t="str">
        <f>VLOOKUP(B25,_Pitch!$A$2:$B$129,2,FALSE)</f>
        <v>B-1</v>
      </c>
      <c r="D25" s="14" t="s">
        <v>403</v>
      </c>
      <c r="E25" s="14" t="s">
        <v>403</v>
      </c>
      <c r="F25" s="14"/>
    </row>
    <row r="26" spans="1:6">
      <c r="A26" s="7">
        <v>24</v>
      </c>
      <c r="B26" s="7">
        <v>24</v>
      </c>
      <c r="C26" t="str">
        <f>VLOOKUP(B26,_Pitch!$A$2:$B$129,2,FALSE)</f>
        <v>C0</v>
      </c>
      <c r="D26" s="14" t="s">
        <v>159</v>
      </c>
      <c r="E26" s="14" t="s">
        <v>159</v>
      </c>
      <c r="F26" s="14"/>
    </row>
    <row r="27" spans="1:6">
      <c r="A27" s="7">
        <v>25</v>
      </c>
      <c r="B27" s="7">
        <v>25</v>
      </c>
      <c r="C27" t="str">
        <f>VLOOKUP(B27,_Pitch!$A$2:$B$129,2,FALSE)</f>
        <v>C#0</v>
      </c>
      <c r="D27" s="14" t="s">
        <v>160</v>
      </c>
      <c r="E27" s="14" t="s">
        <v>160</v>
      </c>
      <c r="F27" s="14" t="s">
        <v>290</v>
      </c>
    </row>
    <row r="28" spans="1:6">
      <c r="A28" s="7">
        <v>26</v>
      </c>
      <c r="B28" s="7">
        <v>26</v>
      </c>
      <c r="C28" t="str">
        <f>VLOOKUP(B28,_Pitch!$A$2:$B$129,2,FALSE)</f>
        <v>D0</v>
      </c>
      <c r="D28" s="14" t="s">
        <v>161</v>
      </c>
      <c r="E28" s="14" t="s">
        <v>161</v>
      </c>
      <c r="F28" s="14"/>
    </row>
    <row r="29" spans="1:6">
      <c r="A29" s="7">
        <v>27</v>
      </c>
      <c r="B29" s="7">
        <v>27</v>
      </c>
      <c r="C29" t="str">
        <f>VLOOKUP(B29,_Pitch!$A$2:$B$129,2,FALSE)</f>
        <v>D#0</v>
      </c>
      <c r="D29" s="14" t="s">
        <v>420</v>
      </c>
      <c r="E29" s="14" t="s">
        <v>206</v>
      </c>
      <c r="F29" s="14"/>
    </row>
    <row r="30" spans="1:6">
      <c r="A30" s="7">
        <v>28</v>
      </c>
      <c r="B30" s="7">
        <v>28</v>
      </c>
      <c r="C30" t="str">
        <f>VLOOKUP(B30,_Pitch!$A$2:$B$129,2,FALSE)</f>
        <v>E0</v>
      </c>
      <c r="D30" s="14" t="s">
        <v>464</v>
      </c>
      <c r="E30" s="14" t="s">
        <v>209</v>
      </c>
      <c r="F30" s="14" t="s">
        <v>567</v>
      </c>
    </row>
    <row r="31" spans="1:6">
      <c r="A31" s="7">
        <v>29</v>
      </c>
      <c r="B31" s="7">
        <v>29</v>
      </c>
      <c r="C31" t="str">
        <f>VLOOKUP(B31,_Pitch!$A$2:$B$129,2,FALSE)</f>
        <v>F0</v>
      </c>
      <c r="D31" s="14" t="s">
        <v>460</v>
      </c>
      <c r="E31" s="14" t="s">
        <v>178</v>
      </c>
      <c r="F31" s="14"/>
    </row>
    <row r="32" spans="1:6">
      <c r="A32" s="7">
        <v>30</v>
      </c>
      <c r="B32" s="7">
        <v>30</v>
      </c>
      <c r="C32" t="str">
        <f>VLOOKUP(B32,_Pitch!$A$2:$B$129,2,FALSE)</f>
        <v>F#0</v>
      </c>
      <c r="D32" s="14" t="s">
        <v>444</v>
      </c>
      <c r="E32" s="14" t="s">
        <v>180</v>
      </c>
      <c r="F32" s="14"/>
    </row>
    <row r="33" spans="1:6">
      <c r="A33" s="7">
        <v>31</v>
      </c>
      <c r="B33" s="7">
        <v>31</v>
      </c>
      <c r="C33" t="str">
        <f>VLOOKUP(B33,_Pitch!$A$2:$B$129,2,FALSE)</f>
        <v>G0</v>
      </c>
      <c r="D33" s="14" t="s">
        <v>422</v>
      </c>
      <c r="E33" s="14" t="s">
        <v>212</v>
      </c>
      <c r="F33" s="14"/>
    </row>
    <row r="34" spans="1:6">
      <c r="A34" s="7">
        <v>32</v>
      </c>
      <c r="B34" s="7">
        <v>32</v>
      </c>
      <c r="C34" t="str">
        <f>VLOOKUP(B34,_Pitch!$A$2:$B$129,2,FALSE)</f>
        <v>G#0</v>
      </c>
      <c r="D34" s="14" t="s">
        <v>469</v>
      </c>
      <c r="E34" s="14" t="s">
        <v>215</v>
      </c>
      <c r="F34" s="14" t="s">
        <v>567</v>
      </c>
    </row>
    <row r="35" spans="1:6">
      <c r="A35" s="7">
        <v>33</v>
      </c>
      <c r="B35" s="7">
        <v>33</v>
      </c>
      <c r="C35" t="str">
        <f>VLOOKUP(B35,_Pitch!$A$2:$B$129,2,FALSE)</f>
        <v>A0</v>
      </c>
      <c r="D35" s="14" t="s">
        <v>139</v>
      </c>
      <c r="E35" s="14" t="s">
        <v>139</v>
      </c>
      <c r="F35" s="14"/>
    </row>
    <row r="36" spans="1:6">
      <c r="A36" s="7">
        <v>34</v>
      </c>
      <c r="B36" s="7">
        <v>34</v>
      </c>
      <c r="C36" t="str">
        <f>VLOOKUP(B36,_Pitch!$A$2:$B$129,2,FALSE)</f>
        <v>A#0</v>
      </c>
      <c r="D36" s="14" t="s">
        <v>133</v>
      </c>
      <c r="E36" s="14" t="s">
        <v>133</v>
      </c>
      <c r="F36" s="14" t="s">
        <v>290</v>
      </c>
    </row>
    <row r="37" spans="1:6">
      <c r="A37" s="7">
        <v>35</v>
      </c>
      <c r="B37" s="7">
        <v>35</v>
      </c>
      <c r="C37" t="str">
        <f>VLOOKUP(B37,_Pitch!$A$2:$B$129,2,FALSE)</f>
        <v>B0</v>
      </c>
      <c r="D37" s="14" t="s">
        <v>135</v>
      </c>
      <c r="E37" s="14" t="s">
        <v>135</v>
      </c>
      <c r="F37" s="14"/>
    </row>
    <row r="38" spans="1:6">
      <c r="A38" s="7">
        <v>36</v>
      </c>
      <c r="B38" s="7">
        <v>36</v>
      </c>
      <c r="C38" t="str">
        <f>VLOOKUP(B38,_Pitch!$A$2:$B$129,2,FALSE)</f>
        <v>C1</v>
      </c>
      <c r="D38" s="14" t="s">
        <v>133</v>
      </c>
      <c r="E38" s="14" t="s">
        <v>133</v>
      </c>
      <c r="F38" s="14"/>
    </row>
    <row r="39" spans="1:6">
      <c r="A39" s="7">
        <v>37</v>
      </c>
      <c r="B39" s="7">
        <v>37</v>
      </c>
      <c r="C39" t="str">
        <f>VLOOKUP(B39,_Pitch!$A$2:$B$129,2,FALSE)</f>
        <v>C#1</v>
      </c>
      <c r="D39" s="14" t="s">
        <v>145</v>
      </c>
      <c r="E39" s="14" t="s">
        <v>145</v>
      </c>
      <c r="F39" s="14"/>
    </row>
    <row r="40" spans="1:6">
      <c r="A40" s="7">
        <v>38</v>
      </c>
      <c r="B40" s="7">
        <v>38</v>
      </c>
      <c r="C40" t="str">
        <f>VLOOKUP(B40,_Pitch!$A$2:$B$129,2,FALSE)</f>
        <v>D1</v>
      </c>
      <c r="D40" s="14" t="s">
        <v>136</v>
      </c>
      <c r="E40" s="14" t="s">
        <v>561</v>
      </c>
      <c r="F40" s="14"/>
    </row>
    <row r="41" spans="1:6">
      <c r="A41" s="7">
        <v>39</v>
      </c>
      <c r="B41" s="7">
        <v>39</v>
      </c>
      <c r="C41" t="str">
        <f>VLOOKUP(B41,_Pitch!$A$2:$B$129,2,FALSE)</f>
        <v>D#1</v>
      </c>
      <c r="D41" s="14" t="s">
        <v>141</v>
      </c>
      <c r="E41" s="14" t="s">
        <v>565</v>
      </c>
      <c r="F41" s="14" t="s">
        <v>567</v>
      </c>
    </row>
    <row r="42" spans="1:6">
      <c r="A42" s="7">
        <v>40</v>
      </c>
      <c r="B42" s="7">
        <v>40</v>
      </c>
      <c r="C42" t="str">
        <f>VLOOKUP(B42,_Pitch!$A$2:$B$129,2,FALSE)</f>
        <v>E1</v>
      </c>
      <c r="D42" s="14" t="s">
        <v>234</v>
      </c>
      <c r="E42" s="14" t="s">
        <v>1077</v>
      </c>
      <c r="F42" s="14"/>
    </row>
    <row r="43" spans="1:6">
      <c r="A43" s="7">
        <v>41</v>
      </c>
      <c r="B43" s="7">
        <v>41</v>
      </c>
      <c r="C43" t="str">
        <f>VLOOKUP(B43,_Pitch!$A$2:$B$129,2,FALSE)</f>
        <v>F1</v>
      </c>
      <c r="D43" s="14" t="s">
        <v>201</v>
      </c>
      <c r="E43" s="14" t="s">
        <v>557</v>
      </c>
      <c r="F43" s="14"/>
    </row>
    <row r="44" spans="1:6">
      <c r="A44" s="7">
        <v>42</v>
      </c>
      <c r="B44" s="7">
        <v>42</v>
      </c>
      <c r="C44" t="str">
        <f>VLOOKUP(B44,_Pitch!$A$2:$B$129,2,FALSE)</f>
        <v>F#1</v>
      </c>
      <c r="D44" s="14" t="s">
        <v>153</v>
      </c>
      <c r="E44" s="14" t="s">
        <v>153</v>
      </c>
      <c r="F44" s="14"/>
    </row>
    <row r="45" spans="1:6">
      <c r="A45" s="7">
        <v>43</v>
      </c>
      <c r="B45" s="7">
        <v>43</v>
      </c>
      <c r="C45" t="str">
        <f>VLOOKUP(B45,_Pitch!$A$2:$B$129,2,FALSE)</f>
        <v>G1</v>
      </c>
      <c r="D45" s="14" t="s">
        <v>196</v>
      </c>
      <c r="E45" s="14" t="s">
        <v>558</v>
      </c>
      <c r="F45" s="14"/>
    </row>
    <row r="46" spans="1:6">
      <c r="A46" s="7">
        <v>44</v>
      </c>
      <c r="B46" s="7">
        <v>44</v>
      </c>
      <c r="C46" t="str">
        <f>VLOOKUP(B46,_Pitch!$A$2:$B$129,2,FALSE)</f>
        <v>G#1</v>
      </c>
      <c r="D46" s="14" t="s">
        <v>1068</v>
      </c>
      <c r="E46" s="14" t="s">
        <v>1068</v>
      </c>
      <c r="F46" s="14"/>
    </row>
    <row r="47" spans="1:6">
      <c r="A47" s="7">
        <v>45</v>
      </c>
      <c r="B47" s="7">
        <v>45</v>
      </c>
      <c r="C47" t="str">
        <f>VLOOKUP(B47,_Pitch!$A$2:$B$129,2,FALSE)</f>
        <v>A1</v>
      </c>
      <c r="D47" s="14" t="s">
        <v>1010</v>
      </c>
      <c r="E47" s="14" t="s">
        <v>239</v>
      </c>
      <c r="F47" s="14"/>
    </row>
    <row r="48" spans="1:6">
      <c r="A48" s="7">
        <v>46</v>
      </c>
      <c r="B48" s="7">
        <v>46</v>
      </c>
      <c r="C48" t="str">
        <f>VLOOKUP(B48,_Pitch!$A$2:$B$129,2,FALSE)</f>
        <v>A#1</v>
      </c>
      <c r="D48" s="14" t="s">
        <v>160</v>
      </c>
      <c r="E48" s="14" t="s">
        <v>160</v>
      </c>
      <c r="F48" s="14"/>
    </row>
    <row r="49" spans="1:6">
      <c r="A49" s="7">
        <v>47</v>
      </c>
      <c r="B49" s="7">
        <v>47</v>
      </c>
      <c r="C49" t="str">
        <f>VLOOKUP(B49,_Pitch!$A$2:$B$129,2,FALSE)</f>
        <v>B1</v>
      </c>
      <c r="D49" s="14" t="s">
        <v>1005</v>
      </c>
      <c r="E49" s="14" t="s">
        <v>559</v>
      </c>
      <c r="F49" s="14"/>
    </row>
    <row r="50" spans="1:6">
      <c r="A50" s="7">
        <v>48</v>
      </c>
      <c r="B50" s="7">
        <v>48</v>
      </c>
      <c r="C50" t="str">
        <f>VLOOKUP(B50,_Pitch!$A$2:$B$129,2,FALSE)</f>
        <v>C2</v>
      </c>
      <c r="D50" s="14" t="s">
        <v>1000</v>
      </c>
      <c r="E50" s="14" t="s">
        <v>560</v>
      </c>
      <c r="F50" s="14"/>
    </row>
    <row r="51" spans="1:6">
      <c r="A51" s="7">
        <v>49</v>
      </c>
      <c r="B51" s="7">
        <v>49</v>
      </c>
      <c r="C51" t="str">
        <f>VLOOKUP(B51,_Pitch!$A$2:$B$129,2,FALSE)</f>
        <v>C#2</v>
      </c>
      <c r="D51" s="14" t="s">
        <v>404</v>
      </c>
      <c r="E51" s="14" t="s">
        <v>568</v>
      </c>
      <c r="F51" s="14"/>
    </row>
    <row r="52" spans="1:6">
      <c r="A52" s="7">
        <v>50</v>
      </c>
      <c r="B52" s="7">
        <v>50</v>
      </c>
      <c r="C52" t="str">
        <f>VLOOKUP(B52,_Pitch!$A$2:$B$129,2,FALSE)</f>
        <v>D2</v>
      </c>
      <c r="D52" s="14" t="s">
        <v>408</v>
      </c>
      <c r="E52" s="14" t="s">
        <v>210</v>
      </c>
      <c r="F52" s="14"/>
    </row>
    <row r="53" spans="1:6">
      <c r="A53" s="7">
        <v>51</v>
      </c>
      <c r="B53" s="7">
        <v>51</v>
      </c>
      <c r="C53" t="str">
        <f>VLOOKUP(B53,_Pitch!$A$2:$B$129,2,FALSE)</f>
        <v>D#2</v>
      </c>
      <c r="D53" s="14" t="s">
        <v>461</v>
      </c>
      <c r="E53" s="14" t="s">
        <v>175</v>
      </c>
      <c r="F53" s="14"/>
    </row>
    <row r="54" spans="1:6">
      <c r="A54" s="7">
        <v>52</v>
      </c>
      <c r="B54" s="7">
        <v>52</v>
      </c>
      <c r="C54" t="str">
        <f>VLOOKUP(B54,_Pitch!$A$2:$B$129,2,FALSE)</f>
        <v>E2</v>
      </c>
      <c r="D54" s="14" t="s">
        <v>905</v>
      </c>
      <c r="E54" s="14" t="s">
        <v>905</v>
      </c>
      <c r="F54" s="14"/>
    </row>
    <row r="55" spans="1:6">
      <c r="A55" s="7">
        <v>53</v>
      </c>
      <c r="B55" s="7">
        <v>53</v>
      </c>
      <c r="C55" t="str">
        <f>VLOOKUP(B55,_Pitch!$A$2:$B$129,2,FALSE)</f>
        <v>F2</v>
      </c>
      <c r="D55" s="14" t="s">
        <v>443</v>
      </c>
      <c r="E55" s="14" t="s">
        <v>181</v>
      </c>
      <c r="F55" s="14"/>
    </row>
    <row r="56" spans="1:6">
      <c r="A56" s="7">
        <v>54</v>
      </c>
      <c r="B56" s="7">
        <v>54</v>
      </c>
      <c r="C56" t="str">
        <f>VLOOKUP(B56,_Pitch!$A$2:$B$129,2,FALSE)</f>
        <v>F#2</v>
      </c>
      <c r="D56" s="14" t="s">
        <v>409</v>
      </c>
      <c r="E56" s="14" t="s">
        <v>919</v>
      </c>
      <c r="F56" s="14"/>
    </row>
    <row r="57" spans="1:6">
      <c r="A57" s="7">
        <v>55</v>
      </c>
      <c r="B57" s="7">
        <v>55</v>
      </c>
      <c r="C57" t="str">
        <f>VLOOKUP(B57,_Pitch!$A$2:$B$129,2,FALSE)</f>
        <v>G2</v>
      </c>
      <c r="D57" s="14" t="s">
        <v>451</v>
      </c>
      <c r="E57" s="14" t="s">
        <v>933</v>
      </c>
      <c r="F57" s="14"/>
    </row>
    <row r="58" spans="1:6">
      <c r="A58" s="7">
        <v>56</v>
      </c>
      <c r="B58" s="7">
        <v>56</v>
      </c>
      <c r="C58" t="str">
        <f>VLOOKUP(B58,_Pitch!$A$2:$B$129,2,FALSE)</f>
        <v>G#2</v>
      </c>
      <c r="D58" s="14" t="s">
        <v>472</v>
      </c>
      <c r="E58" s="14" t="s">
        <v>976</v>
      </c>
      <c r="F58" s="14"/>
    </row>
    <row r="59" spans="1:6">
      <c r="A59" s="7">
        <v>57</v>
      </c>
      <c r="B59" s="7">
        <v>57</v>
      </c>
      <c r="C59" t="str">
        <f>VLOOKUP(B59,_Pitch!$A$2:$B$129,2,FALSE)</f>
        <v>A2</v>
      </c>
      <c r="D59" s="14" t="s">
        <v>407</v>
      </c>
      <c r="E59" s="14" t="s">
        <v>569</v>
      </c>
      <c r="F59" s="14"/>
    </row>
    <row r="60" spans="1:6">
      <c r="A60" s="7">
        <v>58</v>
      </c>
      <c r="B60" s="7">
        <v>58</v>
      </c>
      <c r="C60" t="str">
        <f>VLOOKUP(B60,_Pitch!$A$2:$B$129,2,FALSE)</f>
        <v>A#2</v>
      </c>
      <c r="D60" s="14" t="s">
        <v>411</v>
      </c>
      <c r="E60" s="14" t="s">
        <v>216</v>
      </c>
      <c r="F60" s="14"/>
    </row>
    <row r="61" spans="1:6">
      <c r="A61" s="7">
        <v>59</v>
      </c>
      <c r="B61" s="7">
        <v>59</v>
      </c>
      <c r="C61" t="str">
        <f>VLOOKUP(B61,_Pitch!$A$2:$B$129,2,FALSE)</f>
        <v>B2</v>
      </c>
      <c r="D61" s="14" t="s">
        <v>412</v>
      </c>
      <c r="E61" s="14" t="s">
        <v>182</v>
      </c>
      <c r="F61" s="14"/>
    </row>
    <row r="62" spans="1:6">
      <c r="A62" s="7">
        <v>60</v>
      </c>
      <c r="B62" s="7">
        <v>60</v>
      </c>
      <c r="C62" t="str">
        <f>VLOOKUP(B62,_Pitch!$A$2:$B$129,2,FALSE)</f>
        <v>C3</v>
      </c>
      <c r="D62" s="14" t="s">
        <v>162</v>
      </c>
      <c r="E62" s="14" t="s">
        <v>162</v>
      </c>
      <c r="F62" s="14"/>
    </row>
    <row r="63" spans="1:6">
      <c r="A63" s="7">
        <v>61</v>
      </c>
      <c r="B63" s="7">
        <v>61</v>
      </c>
      <c r="C63" t="str">
        <f>VLOOKUP(B63,_Pitch!$A$2:$B$129,2,FALSE)</f>
        <v>C#3</v>
      </c>
      <c r="D63" s="14" t="s">
        <v>153</v>
      </c>
      <c r="E63" s="14" t="s">
        <v>153</v>
      </c>
      <c r="F63" s="14" t="s">
        <v>290</v>
      </c>
    </row>
    <row r="64" spans="1:6">
      <c r="A64" s="7">
        <v>62</v>
      </c>
      <c r="B64" s="7">
        <v>62</v>
      </c>
      <c r="C64" t="str">
        <f>VLOOKUP(B64,_Pitch!$A$2:$B$129,2,FALSE)</f>
        <v>D3</v>
      </c>
      <c r="D64" s="14" t="s">
        <v>151</v>
      </c>
      <c r="E64" s="14" t="s">
        <v>151</v>
      </c>
      <c r="F64" s="14"/>
    </row>
    <row r="65" spans="1:6">
      <c r="A65" s="7">
        <v>63</v>
      </c>
      <c r="B65" s="7">
        <v>63</v>
      </c>
      <c r="C65" t="str">
        <f>VLOOKUP(B65,_Pitch!$A$2:$B$129,2,FALSE)</f>
        <v>D#3</v>
      </c>
      <c r="D65" s="14" t="s">
        <v>154</v>
      </c>
      <c r="E65" s="14" t="s">
        <v>154</v>
      </c>
      <c r="F65" s="14"/>
    </row>
    <row r="66" spans="1:6">
      <c r="A66" s="7">
        <v>64</v>
      </c>
      <c r="B66" s="7">
        <v>64</v>
      </c>
      <c r="C66" t="str">
        <f>VLOOKUP(B66,_Pitch!$A$2:$B$129,2,FALSE)</f>
        <v>E3</v>
      </c>
      <c r="D66" s="14" t="s">
        <v>156</v>
      </c>
      <c r="E66" s="14" t="s">
        <v>156</v>
      </c>
      <c r="F66" s="14"/>
    </row>
    <row r="67" spans="1:6">
      <c r="A67" s="7">
        <v>65</v>
      </c>
      <c r="B67" s="7">
        <v>65</v>
      </c>
      <c r="C67" t="str">
        <f>VLOOKUP(B67,_Pitch!$A$2:$B$129,2,FALSE)</f>
        <v>F3</v>
      </c>
      <c r="D67" s="14" t="s">
        <v>149</v>
      </c>
      <c r="E67" s="14" t="s">
        <v>149</v>
      </c>
      <c r="F67" s="14" t="s">
        <v>290</v>
      </c>
    </row>
    <row r="68" spans="1:6">
      <c r="A68" s="7">
        <v>66</v>
      </c>
      <c r="B68" s="7">
        <v>66</v>
      </c>
      <c r="C68" t="str">
        <f>VLOOKUP(B68,_Pitch!$A$2:$B$129,2,FALSE)</f>
        <v>F#3</v>
      </c>
      <c r="D68" s="14" t="s">
        <v>136</v>
      </c>
      <c r="E68" s="14" t="s">
        <v>561</v>
      </c>
      <c r="F68" s="14" t="s">
        <v>290</v>
      </c>
    </row>
    <row r="69" spans="1:6">
      <c r="A69" s="7">
        <v>67</v>
      </c>
      <c r="B69" s="7">
        <v>67</v>
      </c>
      <c r="C69" t="str">
        <f>VLOOKUP(B69,_Pitch!$A$2:$B$129,2,FALSE)</f>
        <v>G3</v>
      </c>
      <c r="D69" s="14" t="s">
        <v>145</v>
      </c>
      <c r="E69" s="14" t="s">
        <v>145</v>
      </c>
      <c r="F69" s="14" t="s">
        <v>290</v>
      </c>
    </row>
    <row r="70" spans="1:6">
      <c r="A70" s="7">
        <v>68</v>
      </c>
      <c r="B70" s="7">
        <v>68</v>
      </c>
      <c r="C70" t="str">
        <f>VLOOKUP(B70,_Pitch!$A$2:$B$129,2,FALSE)</f>
        <v>G#3</v>
      </c>
      <c r="D70" s="14" t="s">
        <v>136</v>
      </c>
      <c r="E70" s="14" t="s">
        <v>561</v>
      </c>
      <c r="F70" s="14" t="s">
        <v>290</v>
      </c>
    </row>
    <row r="71" spans="1:6">
      <c r="A71" s="7">
        <v>69</v>
      </c>
      <c r="B71" s="7">
        <v>69</v>
      </c>
      <c r="C71" t="str">
        <f>VLOOKUP(B71,_Pitch!$A$2:$B$129,2,FALSE)</f>
        <v>A3</v>
      </c>
      <c r="D71" s="14" t="s">
        <v>140</v>
      </c>
      <c r="E71" s="14" t="s">
        <v>140</v>
      </c>
      <c r="F71" s="14" t="s">
        <v>567</v>
      </c>
    </row>
    <row r="72" spans="1:6">
      <c r="A72" s="7">
        <v>70</v>
      </c>
      <c r="B72" s="7">
        <v>70</v>
      </c>
      <c r="C72" t="str">
        <f>VLOOKUP(B72,_Pitch!$A$2:$B$129,2,FALSE)</f>
        <v>A#3</v>
      </c>
      <c r="D72" s="14" t="s">
        <v>136</v>
      </c>
      <c r="E72" s="14" t="s">
        <v>561</v>
      </c>
      <c r="F72" s="14" t="s">
        <v>290</v>
      </c>
    </row>
    <row r="73" spans="1:6">
      <c r="A73" s="7">
        <v>71</v>
      </c>
      <c r="B73" s="7">
        <v>71</v>
      </c>
      <c r="C73" t="str">
        <f>VLOOKUP(B73,_Pitch!$A$2:$B$129,2,FALSE)</f>
        <v>B3</v>
      </c>
      <c r="D73" s="14" t="s">
        <v>144</v>
      </c>
      <c r="E73" s="14" t="s">
        <v>144</v>
      </c>
      <c r="F73" s="14"/>
    </row>
    <row r="74" spans="1:6">
      <c r="A74" s="7">
        <v>72</v>
      </c>
      <c r="B74" s="7">
        <v>72</v>
      </c>
      <c r="C74" t="str">
        <f>VLOOKUP(B74,_Pitch!$A$2:$B$129,2,FALSE)</f>
        <v>C4</v>
      </c>
      <c r="D74" s="14" t="s">
        <v>204</v>
      </c>
      <c r="E74" s="14" t="s">
        <v>204</v>
      </c>
      <c r="F74" s="14" t="s">
        <v>663</v>
      </c>
    </row>
    <row r="75" spans="1:6">
      <c r="A75" s="7">
        <v>73</v>
      </c>
      <c r="B75" s="7">
        <v>73</v>
      </c>
      <c r="C75" t="str">
        <f>VLOOKUP(B75,_Pitch!$A$2:$B$129,2,FALSE)</f>
        <v>C#4</v>
      </c>
      <c r="D75" s="14" t="s">
        <v>203</v>
      </c>
      <c r="E75" s="14" t="s">
        <v>203</v>
      </c>
      <c r="F75" s="14"/>
    </row>
    <row r="76" spans="1:6">
      <c r="A76" s="7">
        <v>74</v>
      </c>
      <c r="B76" s="7">
        <v>74</v>
      </c>
      <c r="C76" t="str">
        <f>VLOOKUP(B76,_Pitch!$A$2:$B$129,2,FALSE)</f>
        <v>D4</v>
      </c>
      <c r="D76" s="14" t="s">
        <v>199</v>
      </c>
      <c r="E76" s="14" t="s">
        <v>199</v>
      </c>
      <c r="F76" s="14" t="s">
        <v>663</v>
      </c>
    </row>
    <row r="77" spans="1:6">
      <c r="A77" s="7">
        <v>75</v>
      </c>
      <c r="B77" s="7">
        <v>75</v>
      </c>
      <c r="C77" t="str">
        <f>VLOOKUP(B77,_Pitch!$A$2:$B$129,2,FALSE)</f>
        <v>D#4</v>
      </c>
      <c r="D77" s="14" t="s">
        <v>198</v>
      </c>
      <c r="E77" s="14" t="s">
        <v>198</v>
      </c>
      <c r="F77" s="14"/>
    </row>
    <row r="78" spans="1:6">
      <c r="A78" s="7">
        <v>76</v>
      </c>
      <c r="B78" s="7">
        <v>76</v>
      </c>
      <c r="C78" t="str">
        <f>VLOOKUP(B78,_Pitch!$A$2:$B$129,2,FALSE)</f>
        <v>E4</v>
      </c>
      <c r="D78" s="14" t="s">
        <v>144</v>
      </c>
      <c r="E78" s="14" t="s">
        <v>144</v>
      </c>
      <c r="F78" s="14" t="s">
        <v>290</v>
      </c>
    </row>
    <row r="79" spans="1:6">
      <c r="A79" s="7">
        <v>77</v>
      </c>
      <c r="B79" s="7">
        <v>77</v>
      </c>
      <c r="C79" t="str">
        <f>VLOOKUP(B79,_Pitch!$A$2:$B$129,2,FALSE)</f>
        <v>F4</v>
      </c>
      <c r="D79" s="14" t="s">
        <v>1009</v>
      </c>
      <c r="E79" s="14" t="s">
        <v>1009</v>
      </c>
      <c r="F79" s="14" t="s">
        <v>663</v>
      </c>
    </row>
    <row r="80" spans="1:6">
      <c r="A80" s="7">
        <v>78</v>
      </c>
      <c r="B80" s="7">
        <v>78</v>
      </c>
      <c r="C80" t="str">
        <f>VLOOKUP(B80,_Pitch!$A$2:$B$129,2,FALSE)</f>
        <v>F#4</v>
      </c>
      <c r="D80" s="14" t="s">
        <v>193</v>
      </c>
      <c r="E80" s="14" t="s">
        <v>193</v>
      </c>
      <c r="F80" s="14"/>
    </row>
    <row r="81" spans="1:6">
      <c r="A81" s="7">
        <v>79</v>
      </c>
      <c r="B81" s="7">
        <v>79</v>
      </c>
      <c r="C81" t="str">
        <f>VLOOKUP(B81,_Pitch!$A$2:$B$129,2,FALSE)</f>
        <v>G4</v>
      </c>
      <c r="D81" s="14" t="s">
        <v>1003</v>
      </c>
      <c r="E81" s="14" t="s">
        <v>1003</v>
      </c>
      <c r="F81" s="14" t="s">
        <v>663</v>
      </c>
    </row>
    <row r="82" spans="1:6">
      <c r="A82" s="7">
        <v>80</v>
      </c>
      <c r="B82" s="7">
        <v>80</v>
      </c>
      <c r="C82" t="str">
        <f>VLOOKUP(B82,_Pitch!$A$2:$B$129,2,FALSE)</f>
        <v>G#4</v>
      </c>
      <c r="D82" s="14" t="s">
        <v>191</v>
      </c>
      <c r="E82" s="14" t="s">
        <v>191</v>
      </c>
      <c r="F82" s="14"/>
    </row>
    <row r="83" spans="1:6">
      <c r="A83" s="7">
        <v>81</v>
      </c>
      <c r="B83" s="7">
        <v>81</v>
      </c>
      <c r="C83" t="str">
        <f>VLOOKUP(B83,_Pitch!$A$2:$B$129,2,FALSE)</f>
        <v>A4</v>
      </c>
      <c r="D83" s="14" t="s">
        <v>998</v>
      </c>
      <c r="E83" s="14" t="s">
        <v>998</v>
      </c>
      <c r="F83" s="14" t="s">
        <v>663</v>
      </c>
    </row>
    <row r="84" spans="1:6">
      <c r="A84" s="7">
        <v>82</v>
      </c>
      <c r="B84" s="7">
        <v>82</v>
      </c>
      <c r="C84" t="str">
        <f>VLOOKUP(B84,_Pitch!$A$2:$B$129,2,FALSE)</f>
        <v>A#4</v>
      </c>
      <c r="D84" s="14" t="s">
        <v>189</v>
      </c>
      <c r="E84" s="14" t="s">
        <v>189</v>
      </c>
      <c r="F84" s="14"/>
    </row>
    <row r="85" spans="1:6">
      <c r="A85" s="7">
        <v>83</v>
      </c>
      <c r="B85" s="7">
        <v>83</v>
      </c>
      <c r="C85" t="str">
        <f>VLOOKUP(B85,_Pitch!$A$2:$B$129,2,FALSE)</f>
        <v>B4</v>
      </c>
      <c r="D85" s="14" t="s">
        <v>413</v>
      </c>
      <c r="E85" s="14" t="s">
        <v>384</v>
      </c>
      <c r="F85" s="14"/>
    </row>
    <row r="86" spans="1:6">
      <c r="A86" s="7">
        <v>84</v>
      </c>
      <c r="B86" s="7">
        <v>84</v>
      </c>
      <c r="C86" t="str">
        <f>VLOOKUP(B86,_Pitch!$A$2:$B$129,2,FALSE)</f>
        <v>C5</v>
      </c>
      <c r="D86" s="14" t="s">
        <v>423</v>
      </c>
      <c r="E86" s="14" t="s">
        <v>423</v>
      </c>
      <c r="F86" s="14"/>
    </row>
    <row r="87" spans="1:6">
      <c r="A87" s="7">
        <v>85</v>
      </c>
      <c r="B87" s="7">
        <v>85</v>
      </c>
      <c r="C87" t="str">
        <f>VLOOKUP(B87,_Pitch!$A$2:$B$129,2,FALSE)</f>
        <v>C#5</v>
      </c>
      <c r="D87" s="14" t="s">
        <v>463</v>
      </c>
      <c r="E87" s="14" t="s">
        <v>463</v>
      </c>
      <c r="F87" s="14" t="s">
        <v>567</v>
      </c>
    </row>
    <row r="88" spans="1:6">
      <c r="A88" s="7">
        <v>86</v>
      </c>
      <c r="B88" s="7">
        <v>86</v>
      </c>
      <c r="C88" t="str">
        <f>VLOOKUP(B88,_Pitch!$A$2:$B$129,2,FALSE)</f>
        <v>D5</v>
      </c>
      <c r="D88" s="14" t="s">
        <v>414</v>
      </c>
      <c r="E88" s="14" t="s">
        <v>937</v>
      </c>
      <c r="F88" s="14"/>
    </row>
    <row r="89" spans="1:6">
      <c r="A89" s="7">
        <v>87</v>
      </c>
      <c r="B89" s="7">
        <v>87</v>
      </c>
      <c r="C89" t="str">
        <f>VLOOKUP(B89,_Pitch!$A$2:$B$129,2,FALSE)</f>
        <v>D#5</v>
      </c>
      <c r="D89" s="14" t="s">
        <v>465</v>
      </c>
      <c r="E89" s="14" t="s">
        <v>465</v>
      </c>
      <c r="F89" s="14" t="s">
        <v>567</v>
      </c>
    </row>
    <row r="90" spans="1:6">
      <c r="A90" s="7">
        <v>88</v>
      </c>
      <c r="B90" s="7">
        <v>88</v>
      </c>
      <c r="C90" t="str">
        <f>VLOOKUP(B90,_Pitch!$A$2:$B$129,2,FALSE)</f>
        <v>E5</v>
      </c>
      <c r="D90" s="14" t="s">
        <v>466</v>
      </c>
      <c r="E90" s="14" t="s">
        <v>466</v>
      </c>
      <c r="F90" s="14" t="s">
        <v>567</v>
      </c>
    </row>
    <row r="91" spans="1:6">
      <c r="A91" s="7">
        <v>89</v>
      </c>
      <c r="B91" s="7">
        <v>89</v>
      </c>
      <c r="C91" t="str">
        <f>VLOOKUP(B91,_Pitch!$A$2:$B$129,2,FALSE)</f>
        <v>F5</v>
      </c>
      <c r="D91" s="14" t="s">
        <v>420</v>
      </c>
      <c r="E91" s="14" t="s">
        <v>206</v>
      </c>
      <c r="F91" s="14" t="s">
        <v>290</v>
      </c>
    </row>
    <row r="92" spans="1:6">
      <c r="A92" s="7">
        <v>90</v>
      </c>
      <c r="B92" s="7">
        <v>90</v>
      </c>
      <c r="C92" t="str">
        <f>VLOOKUP(B92,_Pitch!$A$2:$B$129,2,FALSE)</f>
        <v>F#5</v>
      </c>
      <c r="D92" s="14" t="s">
        <v>464</v>
      </c>
      <c r="E92" s="14" t="s">
        <v>209</v>
      </c>
      <c r="F92" s="14" t="s">
        <v>290</v>
      </c>
    </row>
    <row r="93" spans="1:6">
      <c r="A93" s="7">
        <v>91</v>
      </c>
      <c r="B93" s="7">
        <v>91</v>
      </c>
      <c r="C93" t="str">
        <f>VLOOKUP(B93,_Pitch!$A$2:$B$129,2,FALSE)</f>
        <v>G5</v>
      </c>
      <c r="D93" s="14" t="s">
        <v>404</v>
      </c>
      <c r="E93" s="14" t="s">
        <v>568</v>
      </c>
      <c r="F93" s="14" t="s">
        <v>290</v>
      </c>
    </row>
    <row r="94" spans="1:6">
      <c r="A94" s="7">
        <v>92</v>
      </c>
      <c r="B94" s="7">
        <v>92</v>
      </c>
      <c r="C94" t="str">
        <f>VLOOKUP(B94,_Pitch!$A$2:$B$129,2,FALSE)</f>
        <v>G#5</v>
      </c>
      <c r="D94" s="14" t="s">
        <v>467</v>
      </c>
      <c r="E94" s="14" t="s">
        <v>207</v>
      </c>
      <c r="F94" s="14" t="s">
        <v>567</v>
      </c>
    </row>
    <row r="95" spans="1:6">
      <c r="A95" s="7">
        <v>93</v>
      </c>
      <c r="B95" s="7">
        <v>93</v>
      </c>
      <c r="C95" t="str">
        <f>VLOOKUP(B95,_Pitch!$A$2:$B$129,2,FALSE)</f>
        <v>A5</v>
      </c>
      <c r="D95" s="14" t="s">
        <v>468</v>
      </c>
      <c r="E95" s="14" t="s">
        <v>208</v>
      </c>
      <c r="F95" s="14" t="s">
        <v>567</v>
      </c>
    </row>
    <row r="96" spans="1:6">
      <c r="A96" s="7">
        <v>94</v>
      </c>
      <c r="B96" s="7">
        <v>94</v>
      </c>
      <c r="C96" t="str">
        <f>VLOOKUP(B96,_Pitch!$A$2:$B$129,2,FALSE)</f>
        <v>A#5</v>
      </c>
      <c r="D96" s="14" t="s">
        <v>408</v>
      </c>
      <c r="E96" s="14" t="s">
        <v>210</v>
      </c>
      <c r="F96" s="14" t="s">
        <v>290</v>
      </c>
    </row>
    <row r="97" spans="1:6">
      <c r="A97" s="7">
        <v>95</v>
      </c>
      <c r="B97" s="7">
        <v>95</v>
      </c>
      <c r="C97" t="str">
        <f>VLOOKUP(B97,_Pitch!$A$2:$B$129,2,FALSE)</f>
        <v>B5</v>
      </c>
      <c r="D97" s="14" t="s">
        <v>415</v>
      </c>
      <c r="E97" s="14" t="s">
        <v>385</v>
      </c>
      <c r="F97" s="14"/>
    </row>
    <row r="98" spans="1:6">
      <c r="A98" s="7">
        <v>96</v>
      </c>
      <c r="B98" s="7">
        <v>96</v>
      </c>
      <c r="C98" t="str">
        <f>VLOOKUP(B98,_Pitch!$A$2:$B$129,2,FALSE)</f>
        <v>C6</v>
      </c>
      <c r="D98" s="14" t="s">
        <v>424</v>
      </c>
      <c r="E98" s="14" t="s">
        <v>420</v>
      </c>
      <c r="F98" s="14"/>
    </row>
    <row r="99" spans="1:6">
      <c r="A99" s="7">
        <v>97</v>
      </c>
      <c r="B99" s="7">
        <v>97</v>
      </c>
      <c r="C99" t="str">
        <f>VLOOKUP(B99,_Pitch!$A$2:$B$129,2,FALSE)</f>
        <v>C#6</v>
      </c>
      <c r="D99" s="14" t="s">
        <v>473</v>
      </c>
      <c r="E99" s="14" t="s">
        <v>464</v>
      </c>
      <c r="F99" s="14" t="s">
        <v>567</v>
      </c>
    </row>
    <row r="100" spans="1:6">
      <c r="A100" s="7">
        <v>98</v>
      </c>
      <c r="B100" s="7">
        <v>98</v>
      </c>
      <c r="C100" t="str">
        <f>VLOOKUP(B100,_Pitch!$A$2:$B$129,2,FALSE)</f>
        <v>D6</v>
      </c>
      <c r="D100" s="14" t="s">
        <v>417</v>
      </c>
      <c r="E100" s="14" t="s">
        <v>944</v>
      </c>
      <c r="F100" s="14"/>
    </row>
    <row r="101" spans="1:6">
      <c r="A101" s="7">
        <v>99</v>
      </c>
      <c r="B101" s="7">
        <v>99</v>
      </c>
      <c r="C101" t="str">
        <f>VLOOKUP(B101,_Pitch!$A$2:$B$129,2,FALSE)</f>
        <v>D#6</v>
      </c>
      <c r="D101" s="14" t="s">
        <v>474</v>
      </c>
      <c r="E101" s="14" t="s">
        <v>467</v>
      </c>
      <c r="F101" s="14" t="s">
        <v>567</v>
      </c>
    </row>
    <row r="102" spans="1:6">
      <c r="A102" s="7">
        <v>100</v>
      </c>
      <c r="B102" s="7">
        <v>100</v>
      </c>
      <c r="C102" t="str">
        <f>VLOOKUP(B102,_Pitch!$A$2:$B$129,2,FALSE)</f>
        <v>E6</v>
      </c>
      <c r="D102" s="14" t="s">
        <v>475</v>
      </c>
      <c r="E102" s="14" t="s">
        <v>468</v>
      </c>
      <c r="F102" s="14" t="s">
        <v>567</v>
      </c>
    </row>
    <row r="103" spans="1:6">
      <c r="A103" s="7">
        <v>101</v>
      </c>
      <c r="B103" s="7">
        <v>101</v>
      </c>
      <c r="C103" t="str">
        <f>VLOOKUP(B103,_Pitch!$A$2:$B$129,2,FALSE)</f>
        <v>F6</v>
      </c>
      <c r="D103" s="14" t="s">
        <v>422</v>
      </c>
      <c r="E103" s="14" t="s">
        <v>212</v>
      </c>
      <c r="F103" s="14" t="s">
        <v>290</v>
      </c>
    </row>
    <row r="104" spans="1:6">
      <c r="A104" s="7">
        <v>102</v>
      </c>
      <c r="B104" s="7">
        <v>102</v>
      </c>
      <c r="C104" t="str">
        <f>VLOOKUP(B104,_Pitch!$A$2:$B$129,2,FALSE)</f>
        <v>F#6</v>
      </c>
      <c r="D104" s="14" t="s">
        <v>469</v>
      </c>
      <c r="E104" s="14" t="s">
        <v>215</v>
      </c>
      <c r="F104" s="14" t="s">
        <v>290</v>
      </c>
    </row>
    <row r="105" spans="1:6">
      <c r="A105" s="7">
        <v>103</v>
      </c>
      <c r="B105" s="7">
        <v>103</v>
      </c>
      <c r="C105" t="str">
        <f>VLOOKUP(B105,_Pitch!$A$2:$B$129,2,FALSE)</f>
        <v>G6</v>
      </c>
      <c r="D105" s="14" t="s">
        <v>407</v>
      </c>
      <c r="E105" s="14" t="s">
        <v>569</v>
      </c>
      <c r="F105" s="14" t="s">
        <v>290</v>
      </c>
    </row>
    <row r="106" spans="1:6">
      <c r="A106" s="7">
        <v>104</v>
      </c>
      <c r="B106" s="7">
        <v>104</v>
      </c>
      <c r="C106" t="str">
        <f>VLOOKUP(B106,_Pitch!$A$2:$B$129,2,FALSE)</f>
        <v>G#6</v>
      </c>
      <c r="D106" s="14" t="s">
        <v>470</v>
      </c>
      <c r="E106" s="14" t="s">
        <v>213</v>
      </c>
      <c r="F106" s="14" t="s">
        <v>567</v>
      </c>
    </row>
    <row r="107" spans="1:6">
      <c r="A107" s="7">
        <v>105</v>
      </c>
      <c r="B107" s="7">
        <v>105</v>
      </c>
      <c r="C107" t="str">
        <f>VLOOKUP(B107,_Pitch!$A$2:$B$129,2,FALSE)</f>
        <v>A6</v>
      </c>
      <c r="D107" s="14" t="s">
        <v>471</v>
      </c>
      <c r="E107" s="14" t="s">
        <v>214</v>
      </c>
      <c r="F107" s="14" t="s">
        <v>567</v>
      </c>
    </row>
    <row r="108" spans="1:6">
      <c r="A108" s="7">
        <v>106</v>
      </c>
      <c r="B108" s="7">
        <v>106</v>
      </c>
      <c r="C108" t="str">
        <f>VLOOKUP(B108,_Pitch!$A$2:$B$129,2,FALSE)</f>
        <v>A#6</v>
      </c>
      <c r="D108" s="14" t="s">
        <v>411</v>
      </c>
      <c r="E108" s="14" t="s">
        <v>216</v>
      </c>
      <c r="F108" s="14" t="s">
        <v>290</v>
      </c>
    </row>
    <row r="109" spans="1:6">
      <c r="A109" s="7">
        <v>107</v>
      </c>
      <c r="B109" s="7">
        <v>107</v>
      </c>
      <c r="C109" t="str">
        <f>VLOOKUP(B109,_Pitch!$A$2:$B$129,2,FALSE)</f>
        <v>B6</v>
      </c>
      <c r="D109" s="14" t="s">
        <v>409</v>
      </c>
      <c r="E109" s="14" t="s">
        <v>919</v>
      </c>
      <c r="F109" s="14" t="s">
        <v>290</v>
      </c>
    </row>
    <row r="110" spans="1:6">
      <c r="A110" s="7">
        <v>108</v>
      </c>
      <c r="B110" s="7">
        <v>108</v>
      </c>
      <c r="C110" t="str">
        <f>VLOOKUP(B110,_Pitch!$A$2:$B$129,2,FALSE)</f>
        <v>C7</v>
      </c>
      <c r="D110" s="14" t="s">
        <v>418</v>
      </c>
      <c r="E110" s="14" t="s">
        <v>915</v>
      </c>
      <c r="F110" s="14" t="s">
        <v>290</v>
      </c>
    </row>
    <row r="111" spans="1:6">
      <c r="A111" s="7">
        <v>109</v>
      </c>
      <c r="B111" s="7">
        <v>109</v>
      </c>
      <c r="C111" t="str">
        <f>VLOOKUP(B111,_Pitch!$A$2:$B$129,2,FALSE)</f>
        <v>C#7</v>
      </c>
      <c r="D111" s="14" t="s">
        <v>476</v>
      </c>
      <c r="E111" s="14" t="s">
        <v>918</v>
      </c>
      <c r="F111" s="14" t="s">
        <v>290</v>
      </c>
    </row>
    <row r="112" spans="1:6">
      <c r="A112" s="7">
        <v>110</v>
      </c>
      <c r="B112" s="7">
        <v>110</v>
      </c>
      <c r="C112" t="str">
        <f>VLOOKUP(B112,_Pitch!$A$2:$B$129,2,FALSE)</f>
        <v>D7</v>
      </c>
      <c r="D112" s="14" t="s">
        <v>451</v>
      </c>
      <c r="E112" s="14" t="s">
        <v>933</v>
      </c>
      <c r="F112" s="14" t="s">
        <v>290</v>
      </c>
    </row>
    <row r="113" spans="1:6">
      <c r="A113" s="7">
        <v>111</v>
      </c>
      <c r="B113" s="7">
        <v>111</v>
      </c>
      <c r="C113" t="str">
        <f>VLOOKUP(B113,_Pitch!$A$2:$B$129,2,FALSE)</f>
        <v>D#7</v>
      </c>
      <c r="D113" s="14" t="s">
        <v>477</v>
      </c>
      <c r="E113" s="14" t="s">
        <v>477</v>
      </c>
      <c r="F113" s="14" t="s">
        <v>567</v>
      </c>
    </row>
    <row r="114" spans="1:6">
      <c r="A114" s="7">
        <v>112</v>
      </c>
      <c r="B114" s="7">
        <v>112</v>
      </c>
      <c r="C114" t="str">
        <f>VLOOKUP(B114,_Pitch!$A$2:$B$129,2,FALSE)</f>
        <v>E7</v>
      </c>
      <c r="D114" s="14" t="s">
        <v>477</v>
      </c>
      <c r="E114" s="14" t="s">
        <v>477</v>
      </c>
      <c r="F114" s="14" t="s">
        <v>290</v>
      </c>
    </row>
    <row r="115" spans="1:6">
      <c r="A115" s="7">
        <v>113</v>
      </c>
      <c r="B115" s="7">
        <v>113</v>
      </c>
      <c r="C115" t="str">
        <f>VLOOKUP(B115,_Pitch!$A$2:$B$129,2,FALSE)</f>
        <v>F7</v>
      </c>
      <c r="D115" s="14" t="s">
        <v>460</v>
      </c>
      <c r="E115" s="14" t="s">
        <v>178</v>
      </c>
      <c r="F115" s="14" t="s">
        <v>290</v>
      </c>
    </row>
    <row r="116" spans="1:6">
      <c r="A116" s="7">
        <v>114</v>
      </c>
      <c r="B116" s="7">
        <v>114</v>
      </c>
      <c r="C116" t="str">
        <f>VLOOKUP(B116,_Pitch!$A$2:$B$129,2,FALSE)</f>
        <v>F#7</v>
      </c>
      <c r="D116" s="14" t="s">
        <v>443</v>
      </c>
      <c r="E116" s="14" t="s">
        <v>181</v>
      </c>
      <c r="F116" s="14" t="s">
        <v>290</v>
      </c>
    </row>
    <row r="117" spans="1:6">
      <c r="A117" s="7">
        <v>115</v>
      </c>
      <c r="B117" s="7">
        <v>115</v>
      </c>
      <c r="C117" t="str">
        <f>VLOOKUP(B117,_Pitch!$A$2:$B$129,2,FALSE)</f>
        <v>G7</v>
      </c>
      <c r="D117" s="14" t="s">
        <v>412</v>
      </c>
      <c r="E117" s="14" t="s">
        <v>182</v>
      </c>
      <c r="F117" s="14" t="s">
        <v>290</v>
      </c>
    </row>
    <row r="118" spans="1:6">
      <c r="A118" s="7">
        <v>116</v>
      </c>
      <c r="B118" s="7">
        <v>116</v>
      </c>
      <c r="C118" t="str">
        <f>VLOOKUP(B118,_Pitch!$A$2:$B$129,2,FALSE)</f>
        <v>G#7</v>
      </c>
      <c r="D118" s="14" t="s">
        <v>442</v>
      </c>
      <c r="E118" s="14" t="s">
        <v>179</v>
      </c>
      <c r="F118" s="14"/>
    </row>
    <row r="119" spans="1:6">
      <c r="A119" s="7">
        <v>117</v>
      </c>
      <c r="B119" s="7">
        <v>117</v>
      </c>
      <c r="C119" t="str">
        <f>VLOOKUP(B119,_Pitch!$A$2:$B$129,2,FALSE)</f>
        <v>A7</v>
      </c>
      <c r="D119" s="14" t="s">
        <v>444</v>
      </c>
      <c r="E119" s="14" t="s">
        <v>180</v>
      </c>
      <c r="F119" s="14" t="s">
        <v>290</v>
      </c>
    </row>
    <row r="120" spans="1:6">
      <c r="A120" s="7">
        <v>118</v>
      </c>
      <c r="B120" s="7">
        <v>118</v>
      </c>
      <c r="C120" t="str">
        <f>VLOOKUP(B120,_Pitch!$A$2:$B$129,2,FALSE)</f>
        <v>A#7</v>
      </c>
      <c r="D120" s="14" t="s">
        <v>419</v>
      </c>
      <c r="E120" s="14" t="s">
        <v>183</v>
      </c>
      <c r="F120" s="14"/>
    </row>
    <row r="121" spans="1:6">
      <c r="A121" s="7">
        <v>119</v>
      </c>
      <c r="B121" s="7">
        <v>119</v>
      </c>
      <c r="C121" t="str">
        <f>VLOOKUP(B121,_Pitch!$A$2:$B$129,2,FALSE)</f>
        <v>B7</v>
      </c>
      <c r="D121" s="14" t="s">
        <v>155</v>
      </c>
      <c r="E121" s="14" t="s">
        <v>155</v>
      </c>
      <c r="F121" s="14"/>
    </row>
    <row r="122" spans="1:6">
      <c r="A122" s="7">
        <v>120</v>
      </c>
      <c r="B122" s="7">
        <v>120</v>
      </c>
      <c r="C122" t="str">
        <f>VLOOKUP(B122,_Pitch!$A$2:$B$129,2,FALSE)</f>
        <v>C8</v>
      </c>
      <c r="D122" s="14" t="s">
        <v>170</v>
      </c>
      <c r="E122" s="14" t="s">
        <v>170</v>
      </c>
      <c r="F122" s="14" t="s">
        <v>567</v>
      </c>
    </row>
    <row r="123" spans="1:6">
      <c r="A123" s="7">
        <v>121</v>
      </c>
      <c r="B123" s="7">
        <v>121</v>
      </c>
      <c r="C123" t="str">
        <f>VLOOKUP(B123,_Pitch!$A$2:$B$129,2,FALSE)</f>
        <v>C#8</v>
      </c>
      <c r="D123" s="14" t="s">
        <v>171</v>
      </c>
      <c r="E123" s="14" t="s">
        <v>171</v>
      </c>
      <c r="F123" s="14" t="s">
        <v>567</v>
      </c>
    </row>
    <row r="124" spans="1:6">
      <c r="A124" s="7">
        <v>122</v>
      </c>
      <c r="B124" s="7">
        <v>122</v>
      </c>
      <c r="C124" t="str">
        <f>VLOOKUP(B124,_Pitch!$A$2:$B$129,2,FALSE)</f>
        <v>D8</v>
      </c>
      <c r="D124" s="14" t="s">
        <v>172</v>
      </c>
      <c r="E124" s="14" t="s">
        <v>172</v>
      </c>
      <c r="F124" s="14" t="s">
        <v>567</v>
      </c>
    </row>
    <row r="125" spans="1:6">
      <c r="A125" s="7">
        <v>123</v>
      </c>
      <c r="B125" s="7">
        <v>123</v>
      </c>
      <c r="C125" t="str">
        <f>VLOOKUP(B125,_Pitch!$A$2:$B$129,2,FALSE)</f>
        <v>D#8</v>
      </c>
      <c r="D125" s="14" t="s">
        <v>173</v>
      </c>
      <c r="E125" s="14" t="s">
        <v>173</v>
      </c>
      <c r="F125" s="14" t="s">
        <v>567</v>
      </c>
    </row>
    <row r="126" spans="1:6">
      <c r="A126" s="7">
        <v>124</v>
      </c>
      <c r="B126" s="7">
        <v>124</v>
      </c>
      <c r="C126" t="str">
        <f>VLOOKUP(B126,_Pitch!$A$2:$B$129,2,FALSE)</f>
        <v>E8</v>
      </c>
      <c r="D126" s="14" t="s">
        <v>174</v>
      </c>
      <c r="E126" s="14" t="s">
        <v>174</v>
      </c>
      <c r="F126" s="14" t="s">
        <v>567</v>
      </c>
    </row>
    <row r="127" spans="1:6">
      <c r="A127" s="7">
        <v>125</v>
      </c>
      <c r="B127" s="7">
        <v>125</v>
      </c>
      <c r="C127" t="str">
        <f>VLOOKUP(B127,_Pitch!$A$2:$B$129,2,FALSE)</f>
        <v>F8</v>
      </c>
      <c r="D127" s="14" t="s">
        <v>138</v>
      </c>
      <c r="E127" s="14" t="s">
        <v>138</v>
      </c>
      <c r="F127" s="14"/>
    </row>
    <row r="128" spans="1:6">
      <c r="A128" s="7">
        <v>126</v>
      </c>
      <c r="B128" s="7">
        <v>126</v>
      </c>
      <c r="C128" t="str">
        <f>VLOOKUP(B128,_Pitch!$A$2:$B$129,2,FALSE)</f>
        <v>F#8</v>
      </c>
      <c r="D128" s="14" t="s">
        <v>234</v>
      </c>
      <c r="E128" s="14" t="s">
        <v>1077</v>
      </c>
      <c r="F128" s="14" t="s">
        <v>290</v>
      </c>
    </row>
    <row r="129" spans="1:6">
      <c r="A129" s="7">
        <v>127</v>
      </c>
      <c r="B129" s="7">
        <v>127</v>
      </c>
      <c r="C129" t="str">
        <f>VLOOKUP(B129,_Pitch!$A$2:$B$129,2,FALSE)</f>
        <v>G8</v>
      </c>
      <c r="D129" s="14" t="s">
        <v>145</v>
      </c>
      <c r="E129" s="14" t="s">
        <v>145</v>
      </c>
      <c r="F129" s="14" t="s">
        <v>290</v>
      </c>
    </row>
  </sheetData>
  <autoFilter ref="A1:G129" xr:uid="{C53FC1BA-0EAA-491C-9ED8-C96FA2D40963}"/>
  <phoneticPr fontId="1"/>
  <dataValidations count="1">
    <dataValidation type="list" allowBlank="1" showInputMessage="1" showErrorMessage="1" sqref="F2:F129" xr:uid="{2423B4EC-E113-443F-B55A-E54F7FC0C108}">
      <formula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2E36621-7C9B-42A8-9C00-49B5BD6F9771}">
          <x14:formula1>
            <xm:f>_Articulation!$B$2:B$158</xm:f>
          </x14:formula1>
          <xm:sqref>E2:E129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E4C16C-FA4D-4E1A-AB61-3F15F25F1151}">
  <sheetPr codeName="Sheet30"/>
  <dimension ref="A1:G129"/>
  <sheetViews>
    <sheetView workbookViewId="0">
      <pane ySplit="1" topLeftCell="A2" activePane="bottomLeft" state="frozen"/>
      <selection activeCell="D14" sqref="D14"/>
      <selection pane="bottomLeft" activeCell="A2" sqref="A2"/>
    </sheetView>
  </sheetViews>
  <sheetFormatPr defaultRowHeight="13.5"/>
  <cols>
    <col min="1" max="1" width="4.5" style="7" bestFit="1" customWidth="1"/>
    <col min="2" max="2" width="4.5" bestFit="1" customWidth="1"/>
    <col min="3" max="3" width="5.5" bestFit="1" customWidth="1"/>
    <col min="4" max="4" width="45.625" customWidth="1"/>
    <col min="5" max="5" width="28.25" customWidth="1"/>
    <col min="6" max="6" width="10.25" customWidth="1"/>
  </cols>
  <sheetData>
    <row r="1" spans="1:7" s="6" customFormat="1" ht="141.75" customHeight="1">
      <c r="A1" s="15" t="s">
        <v>130</v>
      </c>
      <c r="B1" s="15" t="s">
        <v>1105</v>
      </c>
      <c r="C1" s="15" t="s">
        <v>1106</v>
      </c>
      <c r="D1" s="16" t="s">
        <v>131</v>
      </c>
      <c r="E1" s="23" t="s">
        <v>132</v>
      </c>
      <c r="F1" s="17" t="s">
        <v>664</v>
      </c>
      <c r="G1" s="15" t="s">
        <v>696</v>
      </c>
    </row>
    <row r="2" spans="1:7">
      <c r="A2" s="7">
        <v>0</v>
      </c>
      <c r="B2" s="7">
        <v>0</v>
      </c>
      <c r="C2" t="str">
        <f>VLOOKUP(B2,_Pitch!$A$2:$B$129,2,FALSE)</f>
        <v>C-2</v>
      </c>
      <c r="E2" s="14"/>
      <c r="F2" s="14"/>
    </row>
    <row r="3" spans="1:7">
      <c r="A3" s="7">
        <v>1</v>
      </c>
      <c r="B3" s="7">
        <v>1</v>
      </c>
      <c r="C3" t="str">
        <f>VLOOKUP(B3,_Pitch!$A$2:$B$129,2,FALSE)</f>
        <v>C#-2</v>
      </c>
      <c r="D3" t="s">
        <v>818</v>
      </c>
      <c r="E3" s="14"/>
      <c r="F3" s="14"/>
    </row>
    <row r="4" spans="1:7">
      <c r="A4" s="7">
        <v>2</v>
      </c>
      <c r="B4" s="7">
        <v>2</v>
      </c>
      <c r="C4" t="str">
        <f>VLOOKUP(B4,_Pitch!$A$2:$B$129,2,FALSE)</f>
        <v>D-2</v>
      </c>
      <c r="D4" t="s">
        <v>819</v>
      </c>
      <c r="E4" s="14"/>
      <c r="F4" s="14"/>
    </row>
    <row r="5" spans="1:7">
      <c r="A5" s="7">
        <v>3</v>
      </c>
      <c r="B5" s="7">
        <v>3</v>
      </c>
      <c r="C5" t="str">
        <f>VLOOKUP(B5,_Pitch!$A$2:$B$129,2,FALSE)</f>
        <v>D#-2</v>
      </c>
      <c r="D5" t="s">
        <v>820</v>
      </c>
      <c r="E5" s="14"/>
      <c r="F5" s="14"/>
    </row>
    <row r="6" spans="1:7">
      <c r="A6" s="7">
        <v>4</v>
      </c>
      <c r="B6" s="7">
        <v>4</v>
      </c>
      <c r="C6" t="str">
        <f>VLOOKUP(B6,_Pitch!$A$2:$B$129,2,FALSE)</f>
        <v>E-2</v>
      </c>
      <c r="D6" t="s">
        <v>821</v>
      </c>
      <c r="E6" s="14"/>
      <c r="F6" s="14"/>
    </row>
    <row r="7" spans="1:7">
      <c r="A7" s="7">
        <v>5</v>
      </c>
      <c r="B7" s="7">
        <v>5</v>
      </c>
      <c r="C7" t="str">
        <f>VLOOKUP(B7,_Pitch!$A$2:$B$129,2,FALSE)</f>
        <v>F-2</v>
      </c>
      <c r="D7" t="s">
        <v>822</v>
      </c>
      <c r="E7" s="14"/>
      <c r="F7" s="14"/>
    </row>
    <row r="8" spans="1:7">
      <c r="A8" s="7">
        <v>6</v>
      </c>
      <c r="B8" s="7">
        <v>6</v>
      </c>
      <c r="C8" t="str">
        <f>VLOOKUP(B8,_Pitch!$A$2:$B$129,2,FALSE)</f>
        <v>F#-2</v>
      </c>
      <c r="D8" t="s">
        <v>823</v>
      </c>
      <c r="E8" s="14"/>
      <c r="F8" s="14"/>
    </row>
    <row r="9" spans="1:7">
      <c r="A9" s="7">
        <v>7</v>
      </c>
      <c r="B9" s="7">
        <v>7</v>
      </c>
      <c r="C9" t="str">
        <f>VLOOKUP(B9,_Pitch!$A$2:$B$129,2,FALSE)</f>
        <v>G-2</v>
      </c>
      <c r="D9" t="s">
        <v>824</v>
      </c>
      <c r="E9" s="14"/>
      <c r="F9" s="14"/>
    </row>
    <row r="10" spans="1:7">
      <c r="A10" s="7">
        <v>8</v>
      </c>
      <c r="B10" s="7">
        <v>8</v>
      </c>
      <c r="C10" t="str">
        <f>VLOOKUP(B10,_Pitch!$A$2:$B$129,2,FALSE)</f>
        <v>G#-2</v>
      </c>
      <c r="D10" t="s">
        <v>825</v>
      </c>
      <c r="E10" s="14"/>
      <c r="F10" s="14"/>
    </row>
    <row r="11" spans="1:7">
      <c r="A11" s="7">
        <v>9</v>
      </c>
      <c r="B11" s="7">
        <v>9</v>
      </c>
      <c r="C11" t="str">
        <f>VLOOKUP(B11,_Pitch!$A$2:$B$129,2,FALSE)</f>
        <v>A-2</v>
      </c>
      <c r="D11" t="s">
        <v>826</v>
      </c>
      <c r="E11" s="14"/>
      <c r="F11" s="14"/>
    </row>
    <row r="12" spans="1:7">
      <c r="A12" s="7">
        <v>10</v>
      </c>
      <c r="B12" s="7">
        <v>10</v>
      </c>
      <c r="C12" t="str">
        <f>VLOOKUP(B12,_Pitch!$A$2:$B$129,2,FALSE)</f>
        <v>A#-2</v>
      </c>
      <c r="D12" t="s">
        <v>827</v>
      </c>
      <c r="E12" s="14" t="s">
        <v>1068</v>
      </c>
      <c r="F12" s="14" t="s">
        <v>290</v>
      </c>
    </row>
    <row r="13" spans="1:7">
      <c r="A13" s="7">
        <v>11</v>
      </c>
      <c r="B13" s="7">
        <v>11</v>
      </c>
      <c r="C13" t="str">
        <f>VLOOKUP(B13,_Pitch!$A$2:$B$129,2,FALSE)</f>
        <v>B-2</v>
      </c>
      <c r="D13" t="s">
        <v>828</v>
      </c>
      <c r="E13" s="14" t="s">
        <v>153</v>
      </c>
      <c r="F13" s="14" t="s">
        <v>290</v>
      </c>
    </row>
    <row r="14" spans="1:7">
      <c r="A14" s="7">
        <v>12</v>
      </c>
      <c r="B14" s="7">
        <v>12</v>
      </c>
      <c r="C14" t="str">
        <f>VLOOKUP(B14,_Pitch!$A$2:$B$129,2,FALSE)</f>
        <v>C-1</v>
      </c>
      <c r="D14" t="s">
        <v>829</v>
      </c>
      <c r="E14" s="14" t="s">
        <v>164</v>
      </c>
      <c r="F14" s="14"/>
    </row>
    <row r="15" spans="1:7">
      <c r="A15" s="7">
        <v>13</v>
      </c>
      <c r="B15" s="7">
        <v>13</v>
      </c>
      <c r="C15" t="str">
        <f>VLOOKUP(B15,_Pitch!$A$2:$B$129,2,FALSE)</f>
        <v>C#-1</v>
      </c>
      <c r="D15" t="s">
        <v>830</v>
      </c>
      <c r="E15" s="14" t="s">
        <v>165</v>
      </c>
      <c r="F15" s="14"/>
    </row>
    <row r="16" spans="1:7">
      <c r="A16" s="7">
        <v>14</v>
      </c>
      <c r="B16" s="7">
        <v>14</v>
      </c>
      <c r="C16" t="str">
        <f>VLOOKUP(B16,_Pitch!$A$2:$B$129,2,FALSE)</f>
        <v>D-1</v>
      </c>
      <c r="D16" t="s">
        <v>831</v>
      </c>
      <c r="E16" s="14" t="s">
        <v>166</v>
      </c>
      <c r="F16" s="14"/>
    </row>
    <row r="17" spans="1:6">
      <c r="A17" s="7">
        <v>15</v>
      </c>
      <c r="B17" s="7">
        <v>15</v>
      </c>
      <c r="C17" t="str">
        <f>VLOOKUP(B17,_Pitch!$A$2:$B$129,2,FALSE)</f>
        <v>D#-1</v>
      </c>
      <c r="D17" t="s">
        <v>832</v>
      </c>
      <c r="E17" s="14" t="s">
        <v>167</v>
      </c>
      <c r="F17" s="14"/>
    </row>
    <row r="18" spans="1:6">
      <c r="A18" s="7">
        <v>16</v>
      </c>
      <c r="B18" s="7">
        <v>16</v>
      </c>
      <c r="C18" t="str">
        <f>VLOOKUP(B18,_Pitch!$A$2:$B$129,2,FALSE)</f>
        <v>E-1</v>
      </c>
      <c r="D18" t="s">
        <v>833</v>
      </c>
      <c r="E18" s="14" t="s">
        <v>168</v>
      </c>
      <c r="F18" s="14"/>
    </row>
    <row r="19" spans="1:6">
      <c r="A19" s="7">
        <v>17</v>
      </c>
      <c r="B19" s="7">
        <v>17</v>
      </c>
      <c r="C19" t="str">
        <f>VLOOKUP(B19,_Pitch!$A$2:$B$129,2,FALSE)</f>
        <v>F-1</v>
      </c>
      <c r="D19" t="s">
        <v>834</v>
      </c>
      <c r="E19" s="14" t="s">
        <v>169</v>
      </c>
      <c r="F19" s="14"/>
    </row>
    <row r="20" spans="1:6">
      <c r="A20" s="7">
        <v>18</v>
      </c>
      <c r="B20" s="7">
        <v>18</v>
      </c>
      <c r="C20" t="str">
        <f>VLOOKUP(B20,_Pitch!$A$2:$B$129,2,FALSE)</f>
        <v>F#-1</v>
      </c>
      <c r="D20" t="s">
        <v>824</v>
      </c>
      <c r="E20" s="14"/>
      <c r="F20" s="14"/>
    </row>
    <row r="21" spans="1:6">
      <c r="A21" s="7">
        <v>19</v>
      </c>
      <c r="B21" s="7">
        <v>19</v>
      </c>
      <c r="C21" t="str">
        <f>VLOOKUP(B21,_Pitch!$A$2:$B$129,2,FALSE)</f>
        <v>G-1</v>
      </c>
      <c r="D21" t="s">
        <v>825</v>
      </c>
      <c r="E21" s="14"/>
      <c r="F21" s="14"/>
    </row>
    <row r="22" spans="1:6">
      <c r="A22" s="7">
        <v>20</v>
      </c>
      <c r="B22" s="7">
        <v>20</v>
      </c>
      <c r="C22" t="str">
        <f>VLOOKUP(B22,_Pitch!$A$2:$B$129,2,FALSE)</f>
        <v>G#-1</v>
      </c>
      <c r="D22" t="s">
        <v>824</v>
      </c>
      <c r="E22" s="14"/>
      <c r="F22" s="14"/>
    </row>
    <row r="23" spans="1:6">
      <c r="A23" s="7">
        <v>21</v>
      </c>
      <c r="B23" s="7">
        <v>21</v>
      </c>
      <c r="C23" t="str">
        <f>VLOOKUP(B23,_Pitch!$A$2:$B$129,2,FALSE)</f>
        <v>A-1</v>
      </c>
      <c r="D23" t="s">
        <v>827</v>
      </c>
      <c r="E23" s="14" t="s">
        <v>1068</v>
      </c>
      <c r="F23" s="14" t="s">
        <v>290</v>
      </c>
    </row>
    <row r="24" spans="1:6">
      <c r="A24" s="7">
        <v>22</v>
      </c>
      <c r="B24" s="7">
        <v>22</v>
      </c>
      <c r="C24" t="str">
        <f>VLOOKUP(B24,_Pitch!$A$2:$B$129,2,FALSE)</f>
        <v>A#-1</v>
      </c>
      <c r="D24" t="s">
        <v>835</v>
      </c>
      <c r="E24" s="14" t="s">
        <v>149</v>
      </c>
      <c r="F24" s="14"/>
    </row>
    <row r="25" spans="1:6">
      <c r="A25" s="7">
        <v>23</v>
      </c>
      <c r="B25" s="7">
        <v>23</v>
      </c>
      <c r="C25" t="str">
        <f>VLOOKUP(B25,_Pitch!$A$2:$B$129,2,FALSE)</f>
        <v>B-1</v>
      </c>
      <c r="D25" t="s">
        <v>836</v>
      </c>
      <c r="E25" s="14" t="s">
        <v>403</v>
      </c>
      <c r="F25" s="14"/>
    </row>
    <row r="26" spans="1:6">
      <c r="A26" s="7">
        <v>24</v>
      </c>
      <c r="B26" s="7">
        <v>24</v>
      </c>
      <c r="C26" t="str">
        <f>VLOOKUP(B26,_Pitch!$A$2:$B$129,2,FALSE)</f>
        <v>C0</v>
      </c>
      <c r="D26" t="s">
        <v>837</v>
      </c>
      <c r="E26" s="14" t="s">
        <v>159</v>
      </c>
      <c r="F26" s="14"/>
    </row>
    <row r="27" spans="1:6">
      <c r="A27" s="7">
        <v>25</v>
      </c>
      <c r="B27" s="7">
        <v>25</v>
      </c>
      <c r="C27" t="str">
        <f>VLOOKUP(B27,_Pitch!$A$2:$B$129,2,FALSE)</f>
        <v>C#0</v>
      </c>
      <c r="D27" t="s">
        <v>838</v>
      </c>
      <c r="E27" s="14" t="s">
        <v>160</v>
      </c>
      <c r="F27" s="14" t="s">
        <v>290</v>
      </c>
    </row>
    <row r="28" spans="1:6">
      <c r="A28" s="7">
        <v>26</v>
      </c>
      <c r="B28" s="7">
        <v>26</v>
      </c>
      <c r="C28" t="str">
        <f>VLOOKUP(B28,_Pitch!$A$2:$B$129,2,FALSE)</f>
        <v>D0</v>
      </c>
      <c r="D28" t="s">
        <v>839</v>
      </c>
      <c r="E28" s="14" t="s">
        <v>161</v>
      </c>
      <c r="F28" s="14"/>
    </row>
    <row r="29" spans="1:6">
      <c r="A29" s="7">
        <v>27</v>
      </c>
      <c r="B29" s="7">
        <v>27</v>
      </c>
      <c r="C29" t="str">
        <f>VLOOKUP(B29,_Pitch!$A$2:$B$129,2,FALSE)</f>
        <v>D#0</v>
      </c>
      <c r="D29" t="s">
        <v>840</v>
      </c>
      <c r="E29" s="14" t="s">
        <v>209</v>
      </c>
      <c r="F29" s="14"/>
    </row>
    <row r="30" spans="1:6">
      <c r="A30" s="7">
        <v>28</v>
      </c>
      <c r="B30" s="7">
        <v>28</v>
      </c>
      <c r="C30" t="str">
        <f>VLOOKUP(B30,_Pitch!$A$2:$B$129,2,FALSE)</f>
        <v>E0</v>
      </c>
      <c r="D30" t="s">
        <v>841</v>
      </c>
      <c r="E30" s="14" t="s">
        <v>209</v>
      </c>
      <c r="F30" s="14" t="s">
        <v>290</v>
      </c>
    </row>
    <row r="31" spans="1:6">
      <c r="A31" s="7">
        <v>29</v>
      </c>
      <c r="B31" s="7">
        <v>29</v>
      </c>
      <c r="C31" t="str">
        <f>VLOOKUP(B31,_Pitch!$A$2:$B$129,2,FALSE)</f>
        <v>F0</v>
      </c>
      <c r="D31" t="s">
        <v>842</v>
      </c>
      <c r="E31" s="14" t="s">
        <v>178</v>
      </c>
      <c r="F31" s="14" t="s">
        <v>290</v>
      </c>
    </row>
    <row r="32" spans="1:6">
      <c r="A32" s="7">
        <v>30</v>
      </c>
      <c r="B32" s="7">
        <v>30</v>
      </c>
      <c r="C32" t="str">
        <f>VLOOKUP(B32,_Pitch!$A$2:$B$129,2,FALSE)</f>
        <v>F#0</v>
      </c>
      <c r="D32" t="s">
        <v>843</v>
      </c>
      <c r="E32" s="14" t="s">
        <v>180</v>
      </c>
      <c r="F32" s="14"/>
    </row>
    <row r="33" spans="1:6">
      <c r="A33" s="7">
        <v>31</v>
      </c>
      <c r="B33" s="7">
        <v>31</v>
      </c>
      <c r="C33" t="str">
        <f>VLOOKUP(B33,_Pitch!$A$2:$B$129,2,FALSE)</f>
        <v>G0</v>
      </c>
      <c r="D33" t="s">
        <v>844</v>
      </c>
      <c r="E33" s="14" t="s">
        <v>212</v>
      </c>
      <c r="F33" s="14"/>
    </row>
    <row r="34" spans="1:6">
      <c r="A34" s="7">
        <v>32</v>
      </c>
      <c r="B34" s="7">
        <v>32</v>
      </c>
      <c r="C34" t="str">
        <f>VLOOKUP(B34,_Pitch!$A$2:$B$129,2,FALSE)</f>
        <v>G#0</v>
      </c>
      <c r="D34" t="s">
        <v>845</v>
      </c>
      <c r="E34" s="14" t="s">
        <v>207</v>
      </c>
      <c r="F34" s="14" t="s">
        <v>290</v>
      </c>
    </row>
    <row r="35" spans="1:6">
      <c r="A35" s="7">
        <v>33</v>
      </c>
      <c r="B35" s="7">
        <v>33</v>
      </c>
      <c r="C35" t="str">
        <f>VLOOKUP(B35,_Pitch!$A$2:$B$129,2,FALSE)</f>
        <v>A0</v>
      </c>
      <c r="D35" t="s">
        <v>846</v>
      </c>
      <c r="E35" s="14" t="s">
        <v>139</v>
      </c>
      <c r="F35" s="14"/>
    </row>
    <row r="36" spans="1:6">
      <c r="A36" s="7">
        <v>34</v>
      </c>
      <c r="B36" s="7">
        <v>34</v>
      </c>
      <c r="C36" t="str">
        <f>VLOOKUP(B36,_Pitch!$A$2:$B$129,2,FALSE)</f>
        <v>A#0</v>
      </c>
      <c r="D36" t="s">
        <v>977</v>
      </c>
      <c r="E36" s="14" t="s">
        <v>929</v>
      </c>
      <c r="F36" s="14"/>
    </row>
    <row r="37" spans="1:6">
      <c r="A37" s="7">
        <v>35</v>
      </c>
      <c r="B37" s="7">
        <v>35</v>
      </c>
      <c r="C37" t="str">
        <f>VLOOKUP(B37,_Pitch!$A$2:$B$129,2,FALSE)</f>
        <v>B0</v>
      </c>
      <c r="D37" t="s">
        <v>847</v>
      </c>
      <c r="E37" s="14" t="s">
        <v>135</v>
      </c>
      <c r="F37" s="14"/>
    </row>
    <row r="38" spans="1:6">
      <c r="A38" s="7">
        <v>36</v>
      </c>
      <c r="B38" s="7">
        <v>36</v>
      </c>
      <c r="C38" t="str">
        <f>VLOOKUP(B38,_Pitch!$A$2:$B$129,2,FALSE)</f>
        <v>C1</v>
      </c>
      <c r="D38" t="s">
        <v>848</v>
      </c>
      <c r="E38" s="14" t="s">
        <v>133</v>
      </c>
      <c r="F38" s="14"/>
    </row>
    <row r="39" spans="1:6">
      <c r="A39" s="7">
        <v>37</v>
      </c>
      <c r="B39" s="7">
        <v>37</v>
      </c>
      <c r="C39" t="str">
        <f>VLOOKUP(B39,_Pitch!$A$2:$B$129,2,FALSE)</f>
        <v>C#1</v>
      </c>
      <c r="D39" t="s">
        <v>849</v>
      </c>
      <c r="E39" s="14" t="s">
        <v>145</v>
      </c>
      <c r="F39" s="14"/>
    </row>
    <row r="40" spans="1:6">
      <c r="A40" s="7">
        <v>38</v>
      </c>
      <c r="B40" s="7">
        <v>38</v>
      </c>
      <c r="C40" t="str">
        <f>VLOOKUP(B40,_Pitch!$A$2:$B$129,2,FALSE)</f>
        <v>D1</v>
      </c>
      <c r="D40" t="s">
        <v>850</v>
      </c>
      <c r="E40" s="14" t="s">
        <v>561</v>
      </c>
      <c r="F40" s="14"/>
    </row>
    <row r="41" spans="1:6">
      <c r="A41" s="7">
        <v>39</v>
      </c>
      <c r="B41" s="7">
        <v>39</v>
      </c>
      <c r="C41" t="str">
        <f>VLOOKUP(B41,_Pitch!$A$2:$B$129,2,FALSE)</f>
        <v>D#1</v>
      </c>
      <c r="D41" t="s">
        <v>851</v>
      </c>
      <c r="E41" s="14" t="s">
        <v>565</v>
      </c>
      <c r="F41" s="14"/>
    </row>
    <row r="42" spans="1:6">
      <c r="A42" s="7">
        <v>40</v>
      </c>
      <c r="B42" s="7">
        <v>40</v>
      </c>
      <c r="C42" t="str">
        <f>VLOOKUP(B42,_Pitch!$A$2:$B$129,2,FALSE)</f>
        <v>E1</v>
      </c>
      <c r="D42" t="s">
        <v>852</v>
      </c>
      <c r="E42" s="14" t="s">
        <v>1077</v>
      </c>
      <c r="F42" s="14"/>
    </row>
    <row r="43" spans="1:6">
      <c r="A43" s="7">
        <v>41</v>
      </c>
      <c r="B43" s="7">
        <v>41</v>
      </c>
      <c r="C43" t="str">
        <f>VLOOKUP(B43,_Pitch!$A$2:$B$129,2,FALSE)</f>
        <v>F1</v>
      </c>
      <c r="D43" t="s">
        <v>853</v>
      </c>
      <c r="E43" s="14" t="s">
        <v>557</v>
      </c>
      <c r="F43" s="14"/>
    </row>
    <row r="44" spans="1:6">
      <c r="A44" s="7">
        <v>42</v>
      </c>
      <c r="B44" s="7">
        <v>42</v>
      </c>
      <c r="C44" t="str">
        <f>VLOOKUP(B44,_Pitch!$A$2:$B$129,2,FALSE)</f>
        <v>F#1</v>
      </c>
      <c r="D44" t="s">
        <v>828</v>
      </c>
      <c r="E44" s="14" t="s">
        <v>153</v>
      </c>
      <c r="F44" s="14"/>
    </row>
    <row r="45" spans="1:6">
      <c r="A45" s="7">
        <v>43</v>
      </c>
      <c r="B45" s="7">
        <v>43</v>
      </c>
      <c r="C45" t="str">
        <f>VLOOKUP(B45,_Pitch!$A$2:$B$129,2,FALSE)</f>
        <v>G1</v>
      </c>
      <c r="D45" t="s">
        <v>854</v>
      </c>
      <c r="E45" s="14" t="s">
        <v>558</v>
      </c>
      <c r="F45" s="14"/>
    </row>
    <row r="46" spans="1:6">
      <c r="A46" s="7">
        <v>44</v>
      </c>
      <c r="B46" s="7">
        <v>44</v>
      </c>
      <c r="C46" t="str">
        <f>VLOOKUP(B46,_Pitch!$A$2:$B$129,2,FALSE)</f>
        <v>G#1</v>
      </c>
      <c r="D46" t="s">
        <v>827</v>
      </c>
      <c r="E46" s="14" t="s">
        <v>1068</v>
      </c>
      <c r="F46" s="14"/>
    </row>
    <row r="47" spans="1:6">
      <c r="A47" s="7">
        <v>45</v>
      </c>
      <c r="B47" s="7">
        <v>45</v>
      </c>
      <c r="C47" t="str">
        <f>VLOOKUP(B47,_Pitch!$A$2:$B$129,2,FALSE)</f>
        <v>A1</v>
      </c>
      <c r="D47" t="s">
        <v>980</v>
      </c>
      <c r="E47" s="14" t="s">
        <v>559</v>
      </c>
      <c r="F47" s="14" t="s">
        <v>290</v>
      </c>
    </row>
    <row r="48" spans="1:6">
      <c r="A48" s="7">
        <v>46</v>
      </c>
      <c r="B48" s="7">
        <v>46</v>
      </c>
      <c r="C48" t="str">
        <f>VLOOKUP(B48,_Pitch!$A$2:$B$129,2,FALSE)</f>
        <v>A#1</v>
      </c>
      <c r="D48" t="s">
        <v>838</v>
      </c>
      <c r="E48" s="14" t="s">
        <v>160</v>
      </c>
      <c r="F48" s="14"/>
    </row>
    <row r="49" spans="1:6">
      <c r="A49" s="7">
        <v>47</v>
      </c>
      <c r="B49" s="7">
        <v>47</v>
      </c>
      <c r="C49" t="str">
        <f>VLOOKUP(B49,_Pitch!$A$2:$B$129,2,FALSE)</f>
        <v>B1</v>
      </c>
      <c r="D49" t="s">
        <v>980</v>
      </c>
      <c r="E49" s="14" t="s">
        <v>559</v>
      </c>
      <c r="F49" s="14"/>
    </row>
    <row r="50" spans="1:6">
      <c r="A50" s="7">
        <v>48</v>
      </c>
      <c r="B50" s="7">
        <v>48</v>
      </c>
      <c r="C50" t="str">
        <f>VLOOKUP(B50,_Pitch!$A$2:$B$129,2,FALSE)</f>
        <v>C2</v>
      </c>
      <c r="D50" t="s">
        <v>981</v>
      </c>
      <c r="E50" s="14" t="s">
        <v>560</v>
      </c>
      <c r="F50" s="14"/>
    </row>
    <row r="51" spans="1:6">
      <c r="A51" s="7">
        <v>49</v>
      </c>
      <c r="B51" s="7">
        <v>49</v>
      </c>
      <c r="C51" t="str">
        <f>VLOOKUP(B51,_Pitch!$A$2:$B$129,2,FALSE)</f>
        <v>C#2</v>
      </c>
      <c r="D51" t="s">
        <v>855</v>
      </c>
      <c r="E51" s="14" t="s">
        <v>568</v>
      </c>
      <c r="F51" s="14"/>
    </row>
    <row r="52" spans="1:6">
      <c r="A52" s="7">
        <v>50</v>
      </c>
      <c r="B52" s="7">
        <v>50</v>
      </c>
      <c r="C52" t="str">
        <f>VLOOKUP(B52,_Pitch!$A$2:$B$129,2,FALSE)</f>
        <v>D2</v>
      </c>
      <c r="D52" t="s">
        <v>856</v>
      </c>
      <c r="E52" s="14" t="s">
        <v>210</v>
      </c>
      <c r="F52" s="14"/>
    </row>
    <row r="53" spans="1:6">
      <c r="A53" s="7">
        <v>51</v>
      </c>
      <c r="B53" s="7">
        <v>51</v>
      </c>
      <c r="C53" t="str">
        <f>VLOOKUP(B53,_Pitch!$A$2:$B$129,2,FALSE)</f>
        <v>D#2</v>
      </c>
      <c r="D53" t="s">
        <v>857</v>
      </c>
      <c r="E53" s="14" t="s">
        <v>175</v>
      </c>
      <c r="F53" s="14"/>
    </row>
    <row r="54" spans="1:6">
      <c r="A54" s="7">
        <v>52</v>
      </c>
      <c r="B54" s="7">
        <v>52</v>
      </c>
      <c r="C54" t="str">
        <f>VLOOKUP(B54,_Pitch!$A$2:$B$129,2,FALSE)</f>
        <v>E2</v>
      </c>
      <c r="D54" t="s">
        <v>858</v>
      </c>
      <c r="E54" s="14" t="s">
        <v>908</v>
      </c>
      <c r="F54" s="14"/>
    </row>
    <row r="55" spans="1:6">
      <c r="A55" s="7">
        <v>53</v>
      </c>
      <c r="B55" s="7">
        <v>53</v>
      </c>
      <c r="C55" t="str">
        <f>VLOOKUP(B55,_Pitch!$A$2:$B$129,2,FALSE)</f>
        <v>F2</v>
      </c>
      <c r="D55" t="s">
        <v>859</v>
      </c>
      <c r="E55" s="14" t="s">
        <v>181</v>
      </c>
      <c r="F55" s="14"/>
    </row>
    <row r="56" spans="1:6">
      <c r="A56" s="7">
        <v>54</v>
      </c>
      <c r="B56" s="7">
        <v>54</v>
      </c>
      <c r="C56" t="str">
        <f>VLOOKUP(B56,_Pitch!$A$2:$B$129,2,FALSE)</f>
        <v>F#2</v>
      </c>
      <c r="D56" t="s">
        <v>860</v>
      </c>
      <c r="E56" s="14" t="s">
        <v>927</v>
      </c>
      <c r="F56" s="14"/>
    </row>
    <row r="57" spans="1:6">
      <c r="A57" s="7">
        <v>55</v>
      </c>
      <c r="B57" s="7">
        <v>55</v>
      </c>
      <c r="C57" t="str">
        <f>VLOOKUP(B57,_Pitch!$A$2:$B$129,2,FALSE)</f>
        <v>G2</v>
      </c>
      <c r="D57" t="s">
        <v>861</v>
      </c>
      <c r="E57" s="14" t="s">
        <v>904</v>
      </c>
      <c r="F57" s="14"/>
    </row>
    <row r="58" spans="1:6">
      <c r="A58" s="7">
        <v>56</v>
      </c>
      <c r="B58" s="7">
        <v>56</v>
      </c>
      <c r="C58" t="str">
        <f>VLOOKUP(B58,_Pitch!$A$2:$B$129,2,FALSE)</f>
        <v>G#2</v>
      </c>
      <c r="D58" t="s">
        <v>862</v>
      </c>
      <c r="E58" s="14" t="s">
        <v>914</v>
      </c>
      <c r="F58" s="14"/>
    </row>
    <row r="59" spans="1:6">
      <c r="A59" s="7">
        <v>57</v>
      </c>
      <c r="B59" s="7">
        <v>57</v>
      </c>
      <c r="C59" t="str">
        <f>VLOOKUP(B59,_Pitch!$A$2:$B$129,2,FALSE)</f>
        <v>A2</v>
      </c>
      <c r="D59" t="s">
        <v>863</v>
      </c>
      <c r="E59" s="14" t="s">
        <v>206</v>
      </c>
      <c r="F59" s="14"/>
    </row>
    <row r="60" spans="1:6">
      <c r="A60" s="7">
        <v>58</v>
      </c>
      <c r="B60" s="7">
        <v>58</v>
      </c>
      <c r="C60" t="str">
        <f>VLOOKUP(B60,_Pitch!$A$2:$B$129,2,FALSE)</f>
        <v>A#2</v>
      </c>
      <c r="D60" t="s">
        <v>864</v>
      </c>
      <c r="E60" s="14" t="s">
        <v>216</v>
      </c>
      <c r="F60" s="14"/>
    </row>
    <row r="61" spans="1:6">
      <c r="A61" s="7">
        <v>59</v>
      </c>
      <c r="B61" s="7">
        <v>59</v>
      </c>
      <c r="C61" t="str">
        <f>VLOOKUP(B61,_Pitch!$A$2:$B$129,2,FALSE)</f>
        <v>B2</v>
      </c>
      <c r="D61" t="s">
        <v>865</v>
      </c>
      <c r="E61" s="14" t="s">
        <v>182</v>
      </c>
      <c r="F61" s="14"/>
    </row>
    <row r="62" spans="1:6">
      <c r="A62" s="7">
        <v>60</v>
      </c>
      <c r="B62" s="7">
        <v>60</v>
      </c>
      <c r="C62" t="str">
        <f>VLOOKUP(B62,_Pitch!$A$2:$B$129,2,FALSE)</f>
        <v>C3</v>
      </c>
      <c r="D62" t="s">
        <v>866</v>
      </c>
      <c r="E62" s="14" t="s">
        <v>162</v>
      </c>
      <c r="F62" s="14"/>
    </row>
    <row r="63" spans="1:6">
      <c r="A63" s="7">
        <v>61</v>
      </c>
      <c r="B63" s="7">
        <v>61</v>
      </c>
      <c r="C63" t="str">
        <f>VLOOKUP(B63,_Pitch!$A$2:$B$129,2,FALSE)</f>
        <v>C#3</v>
      </c>
      <c r="D63" t="s">
        <v>828</v>
      </c>
      <c r="E63" s="14" t="s">
        <v>153</v>
      </c>
      <c r="F63" s="14" t="s">
        <v>290</v>
      </c>
    </row>
    <row r="64" spans="1:6">
      <c r="A64" s="7">
        <v>62</v>
      </c>
      <c r="B64" s="7">
        <v>62</v>
      </c>
      <c r="C64" t="str">
        <f>VLOOKUP(B64,_Pitch!$A$2:$B$129,2,FALSE)</f>
        <v>D3</v>
      </c>
      <c r="D64" t="s">
        <v>867</v>
      </c>
      <c r="E64" s="14" t="s">
        <v>151</v>
      </c>
      <c r="F64" s="14"/>
    </row>
    <row r="65" spans="1:6">
      <c r="A65" s="7">
        <v>63</v>
      </c>
      <c r="B65" s="7">
        <v>63</v>
      </c>
      <c r="C65" t="str">
        <f>VLOOKUP(B65,_Pitch!$A$2:$B$129,2,FALSE)</f>
        <v>D#3</v>
      </c>
      <c r="D65" t="s">
        <v>868</v>
      </c>
      <c r="E65" s="14" t="s">
        <v>154</v>
      </c>
      <c r="F65" s="14"/>
    </row>
    <row r="66" spans="1:6">
      <c r="A66" s="7">
        <v>64</v>
      </c>
      <c r="B66" s="7">
        <v>64</v>
      </c>
      <c r="C66" t="str">
        <f>VLOOKUP(B66,_Pitch!$A$2:$B$129,2,FALSE)</f>
        <v>E3</v>
      </c>
      <c r="D66" t="s">
        <v>869</v>
      </c>
      <c r="E66" s="14" t="s">
        <v>156</v>
      </c>
      <c r="F66" s="14"/>
    </row>
    <row r="67" spans="1:6">
      <c r="A67" s="7">
        <v>65</v>
      </c>
      <c r="B67" s="7">
        <v>65</v>
      </c>
      <c r="C67" t="str">
        <f>VLOOKUP(B67,_Pitch!$A$2:$B$129,2,FALSE)</f>
        <v>F3</v>
      </c>
      <c r="D67" t="s">
        <v>835</v>
      </c>
      <c r="E67" s="14" t="s">
        <v>149</v>
      </c>
      <c r="F67" s="14" t="s">
        <v>290</v>
      </c>
    </row>
    <row r="68" spans="1:6">
      <c r="A68" s="7">
        <v>66</v>
      </c>
      <c r="B68" s="7">
        <v>66</v>
      </c>
      <c r="C68" t="str">
        <f>VLOOKUP(B68,_Pitch!$A$2:$B$129,2,FALSE)</f>
        <v>F#3</v>
      </c>
      <c r="D68" t="s">
        <v>978</v>
      </c>
      <c r="E68" s="14" t="s">
        <v>994</v>
      </c>
      <c r="F68" s="14"/>
    </row>
    <row r="69" spans="1:6">
      <c r="A69" s="7">
        <v>67</v>
      </c>
      <c r="B69" s="7">
        <v>67</v>
      </c>
      <c r="C69" t="str">
        <f>VLOOKUP(B69,_Pitch!$A$2:$B$129,2,FALSE)</f>
        <v>G3</v>
      </c>
      <c r="D69" t="s">
        <v>979</v>
      </c>
      <c r="E69" s="14" t="s">
        <v>992</v>
      </c>
      <c r="F69" s="14"/>
    </row>
    <row r="70" spans="1:6">
      <c r="A70" s="7">
        <v>68</v>
      </c>
      <c r="B70" s="7">
        <v>68</v>
      </c>
      <c r="C70" t="str">
        <f>VLOOKUP(B70,_Pitch!$A$2:$B$129,2,FALSE)</f>
        <v>G#3</v>
      </c>
      <c r="D70" t="s">
        <v>980</v>
      </c>
      <c r="E70" s="14" t="s">
        <v>989</v>
      </c>
      <c r="F70" s="14"/>
    </row>
    <row r="71" spans="1:6">
      <c r="A71" s="7">
        <v>69</v>
      </c>
      <c r="B71" s="7">
        <v>69</v>
      </c>
      <c r="C71" t="str">
        <f>VLOOKUP(B71,_Pitch!$A$2:$B$129,2,FALSE)</f>
        <v>A3</v>
      </c>
      <c r="D71" t="s">
        <v>981</v>
      </c>
      <c r="E71" s="14" t="s">
        <v>986</v>
      </c>
      <c r="F71" s="14"/>
    </row>
    <row r="72" spans="1:6">
      <c r="A72" s="7">
        <v>70</v>
      </c>
      <c r="B72" s="7">
        <v>70</v>
      </c>
      <c r="C72" t="str">
        <f>VLOOKUP(B72,_Pitch!$A$2:$B$129,2,FALSE)</f>
        <v>A#3</v>
      </c>
      <c r="D72" t="s">
        <v>982</v>
      </c>
      <c r="E72" s="14" t="s">
        <v>990</v>
      </c>
      <c r="F72" s="14"/>
    </row>
    <row r="73" spans="1:6">
      <c r="A73" s="7">
        <v>71</v>
      </c>
      <c r="B73" s="7">
        <v>71</v>
      </c>
      <c r="C73" t="str">
        <f>VLOOKUP(B73,_Pitch!$A$2:$B$129,2,FALSE)</f>
        <v>B3</v>
      </c>
      <c r="D73" t="s">
        <v>983</v>
      </c>
      <c r="E73" s="14" t="s">
        <v>987</v>
      </c>
      <c r="F73" s="14"/>
    </row>
    <row r="74" spans="1:6">
      <c r="A74" s="7">
        <v>72</v>
      </c>
      <c r="B74" s="7">
        <v>72</v>
      </c>
      <c r="C74" t="str">
        <f>VLOOKUP(B74,_Pitch!$A$2:$B$129,2,FALSE)</f>
        <v>C4</v>
      </c>
      <c r="D74" t="s">
        <v>870</v>
      </c>
      <c r="E74" s="14" t="s">
        <v>204</v>
      </c>
      <c r="F74" s="14"/>
    </row>
    <row r="75" spans="1:6">
      <c r="A75" s="7">
        <v>73</v>
      </c>
      <c r="B75" s="7">
        <v>73</v>
      </c>
      <c r="C75" t="str">
        <f>VLOOKUP(B75,_Pitch!$A$2:$B$129,2,FALSE)</f>
        <v>C#4</v>
      </c>
      <c r="D75" t="s">
        <v>871</v>
      </c>
      <c r="E75" s="14" t="s">
        <v>203</v>
      </c>
      <c r="F75" s="14"/>
    </row>
    <row r="76" spans="1:6">
      <c r="A76" s="7">
        <v>74</v>
      </c>
      <c r="B76" s="7">
        <v>74</v>
      </c>
      <c r="C76" t="str">
        <f>VLOOKUP(B76,_Pitch!$A$2:$B$129,2,FALSE)</f>
        <v>D4</v>
      </c>
      <c r="D76" t="s">
        <v>872</v>
      </c>
      <c r="E76" s="14" t="s">
        <v>199</v>
      </c>
      <c r="F76" s="14"/>
    </row>
    <row r="77" spans="1:6">
      <c r="A77" s="7">
        <v>75</v>
      </c>
      <c r="B77" s="7">
        <v>75</v>
      </c>
      <c r="C77" t="str">
        <f>VLOOKUP(B77,_Pitch!$A$2:$B$129,2,FALSE)</f>
        <v>D#4</v>
      </c>
      <c r="D77" t="s">
        <v>873</v>
      </c>
      <c r="E77" s="14" t="s">
        <v>198</v>
      </c>
      <c r="F77" s="14"/>
    </row>
    <row r="78" spans="1:6">
      <c r="A78" s="7">
        <v>76</v>
      </c>
      <c r="B78" s="7">
        <v>76</v>
      </c>
      <c r="C78" t="str">
        <f>VLOOKUP(B78,_Pitch!$A$2:$B$129,2,FALSE)</f>
        <v>E4</v>
      </c>
      <c r="D78" t="s">
        <v>874</v>
      </c>
      <c r="E78" s="14" t="s">
        <v>144</v>
      </c>
      <c r="F78" s="14"/>
    </row>
    <row r="79" spans="1:6">
      <c r="A79" s="7">
        <v>77</v>
      </c>
      <c r="B79" s="7">
        <v>77</v>
      </c>
      <c r="C79" t="str">
        <f>VLOOKUP(B79,_Pitch!$A$2:$B$129,2,FALSE)</f>
        <v>F4</v>
      </c>
      <c r="D79" t="s">
        <v>984</v>
      </c>
      <c r="E79" s="14" t="s">
        <v>995</v>
      </c>
      <c r="F79" s="14"/>
    </row>
    <row r="80" spans="1:6">
      <c r="A80" s="7">
        <v>78</v>
      </c>
      <c r="B80" s="7">
        <v>78</v>
      </c>
      <c r="C80" t="str">
        <f>VLOOKUP(B80,_Pitch!$A$2:$B$129,2,FALSE)</f>
        <v>F#4</v>
      </c>
      <c r="D80" t="s">
        <v>985</v>
      </c>
      <c r="E80" s="14" t="s">
        <v>993</v>
      </c>
      <c r="F80" s="14"/>
    </row>
    <row r="81" spans="1:6">
      <c r="A81" s="7">
        <v>79</v>
      </c>
      <c r="B81" s="7">
        <v>79</v>
      </c>
      <c r="C81" t="str">
        <f>VLOOKUP(B81,_Pitch!$A$2:$B$129,2,FALSE)</f>
        <v>G4</v>
      </c>
      <c r="D81" t="s">
        <v>991</v>
      </c>
      <c r="E81" s="14" t="s">
        <v>1003</v>
      </c>
      <c r="F81" s="14"/>
    </row>
    <row r="82" spans="1:6">
      <c r="A82" s="7">
        <v>80</v>
      </c>
      <c r="B82" s="7">
        <v>80</v>
      </c>
      <c r="C82" t="str">
        <f>VLOOKUP(B82,_Pitch!$A$2:$B$129,2,FALSE)</f>
        <v>G#4</v>
      </c>
      <c r="D82" t="s">
        <v>982</v>
      </c>
      <c r="E82" s="14" t="s">
        <v>191</v>
      </c>
      <c r="F82" s="14"/>
    </row>
    <row r="83" spans="1:6">
      <c r="A83" s="7">
        <v>81</v>
      </c>
      <c r="B83" s="7">
        <v>81</v>
      </c>
      <c r="C83" t="str">
        <f>VLOOKUP(B83,_Pitch!$A$2:$B$129,2,FALSE)</f>
        <v>A4</v>
      </c>
      <c r="D83" t="s">
        <v>988</v>
      </c>
      <c r="E83" s="14" t="s">
        <v>998</v>
      </c>
      <c r="F83" s="14"/>
    </row>
    <row r="84" spans="1:6">
      <c r="A84" s="7">
        <v>82</v>
      </c>
      <c r="B84" s="7">
        <v>82</v>
      </c>
      <c r="C84" t="str">
        <f>VLOOKUP(B84,_Pitch!$A$2:$B$129,2,FALSE)</f>
        <v>A#4</v>
      </c>
      <c r="D84" t="s">
        <v>983</v>
      </c>
      <c r="E84" s="14" t="s">
        <v>189</v>
      </c>
      <c r="F84" s="14"/>
    </row>
    <row r="85" spans="1:6">
      <c r="A85" s="7">
        <v>83</v>
      </c>
      <c r="B85" s="7">
        <v>83</v>
      </c>
      <c r="C85" t="str">
        <f>VLOOKUP(B85,_Pitch!$A$2:$B$129,2,FALSE)</f>
        <v>B4</v>
      </c>
      <c r="D85" t="s">
        <v>875</v>
      </c>
      <c r="E85" s="14" t="s">
        <v>919</v>
      </c>
      <c r="F85" s="14"/>
    </row>
    <row r="86" spans="1:6">
      <c r="A86" s="7">
        <v>84</v>
      </c>
      <c r="B86" s="7">
        <v>84</v>
      </c>
      <c r="C86" t="str">
        <f>VLOOKUP(B86,_Pitch!$A$2:$B$129,2,FALSE)</f>
        <v>C5</v>
      </c>
      <c r="D86" t="s">
        <v>876</v>
      </c>
      <c r="E86" s="14" t="s">
        <v>915</v>
      </c>
      <c r="F86" s="14"/>
    </row>
    <row r="87" spans="1:6">
      <c r="A87" s="7">
        <v>85</v>
      </c>
      <c r="B87" s="7">
        <v>85</v>
      </c>
      <c r="C87" t="str">
        <f>VLOOKUP(B87,_Pitch!$A$2:$B$129,2,FALSE)</f>
        <v>C#5</v>
      </c>
      <c r="D87" t="s">
        <v>877</v>
      </c>
      <c r="E87" s="14" t="s">
        <v>931</v>
      </c>
      <c r="F87" s="14"/>
    </row>
    <row r="88" spans="1:6">
      <c r="A88" s="7">
        <v>86</v>
      </c>
      <c r="B88" s="7">
        <v>86</v>
      </c>
      <c r="C88" t="str">
        <f>VLOOKUP(B88,_Pitch!$A$2:$B$129,2,FALSE)</f>
        <v>D5</v>
      </c>
      <c r="D88" t="s">
        <v>878</v>
      </c>
      <c r="E88" s="14" t="s">
        <v>905</v>
      </c>
      <c r="F88" s="14"/>
    </row>
    <row r="89" spans="1:6">
      <c r="A89" s="7">
        <v>87</v>
      </c>
      <c r="B89" s="7">
        <v>87</v>
      </c>
      <c r="C89" t="str">
        <f>VLOOKUP(B89,_Pitch!$A$2:$B$129,2,FALSE)</f>
        <v>D#5</v>
      </c>
      <c r="D89" t="s">
        <v>879</v>
      </c>
      <c r="E89" s="14" t="s">
        <v>568</v>
      </c>
      <c r="F89" s="14" t="s">
        <v>290</v>
      </c>
    </row>
    <row r="90" spans="1:6">
      <c r="A90" s="7">
        <v>88</v>
      </c>
      <c r="B90" s="7">
        <v>88</v>
      </c>
      <c r="C90" t="str">
        <f>VLOOKUP(B90,_Pitch!$A$2:$B$129,2,FALSE)</f>
        <v>E5</v>
      </c>
      <c r="D90" t="s">
        <v>880</v>
      </c>
      <c r="E90" s="14" t="s">
        <v>208</v>
      </c>
      <c r="F90" s="14"/>
    </row>
    <row r="91" spans="1:6">
      <c r="A91" s="7">
        <v>89</v>
      </c>
      <c r="B91" s="7">
        <v>89</v>
      </c>
      <c r="C91" t="str">
        <f>VLOOKUP(B91,_Pitch!$A$2:$B$129,2,FALSE)</f>
        <v>F5</v>
      </c>
      <c r="D91" t="s">
        <v>840</v>
      </c>
      <c r="E91" s="14" t="s">
        <v>215</v>
      </c>
      <c r="F91" s="14" t="s">
        <v>290</v>
      </c>
    </row>
    <row r="92" spans="1:6">
      <c r="A92" s="7">
        <v>90</v>
      </c>
      <c r="B92" s="7">
        <v>90</v>
      </c>
      <c r="C92" t="str">
        <f>VLOOKUP(B92,_Pitch!$A$2:$B$129,2,FALSE)</f>
        <v>F#5</v>
      </c>
      <c r="D92" t="s">
        <v>841</v>
      </c>
      <c r="E92" s="14" t="s">
        <v>215</v>
      </c>
      <c r="F92" s="14"/>
    </row>
    <row r="93" spans="1:6">
      <c r="A93" s="7">
        <v>91</v>
      </c>
      <c r="B93" s="7">
        <v>91</v>
      </c>
      <c r="C93" t="str">
        <f>VLOOKUP(B93,_Pitch!$A$2:$B$129,2,FALSE)</f>
        <v>G5</v>
      </c>
      <c r="D93" t="s">
        <v>855</v>
      </c>
      <c r="E93" s="14" t="s">
        <v>215</v>
      </c>
      <c r="F93" s="14" t="s">
        <v>290</v>
      </c>
    </row>
    <row r="94" spans="1:6">
      <c r="A94" s="7">
        <v>92</v>
      </c>
      <c r="B94" s="7">
        <v>92</v>
      </c>
      <c r="C94" t="str">
        <f>VLOOKUP(B94,_Pitch!$A$2:$B$129,2,FALSE)</f>
        <v>G#5</v>
      </c>
      <c r="D94" t="s">
        <v>879</v>
      </c>
      <c r="E94" s="14" t="s">
        <v>207</v>
      </c>
      <c r="F94" s="14"/>
    </row>
    <row r="95" spans="1:6">
      <c r="A95" s="7">
        <v>93</v>
      </c>
      <c r="B95" s="7">
        <v>93</v>
      </c>
      <c r="C95" t="str">
        <f>VLOOKUP(B95,_Pitch!$A$2:$B$129,2,FALSE)</f>
        <v>A5</v>
      </c>
      <c r="D95" t="s">
        <v>881</v>
      </c>
      <c r="E95" s="14" t="s">
        <v>906</v>
      </c>
      <c r="F95" s="14"/>
    </row>
    <row r="96" spans="1:6">
      <c r="A96" s="7">
        <v>94</v>
      </c>
      <c r="B96" s="7">
        <v>94</v>
      </c>
      <c r="C96" t="str">
        <f>VLOOKUP(B96,_Pitch!$A$2:$B$129,2,FALSE)</f>
        <v>A#5</v>
      </c>
      <c r="D96" t="s">
        <v>882</v>
      </c>
      <c r="E96" s="14" t="s">
        <v>921</v>
      </c>
      <c r="F96" s="14"/>
    </row>
    <row r="97" spans="1:6">
      <c r="A97" s="7">
        <v>95</v>
      </c>
      <c r="B97" s="7">
        <v>95</v>
      </c>
      <c r="C97" t="str">
        <f>VLOOKUP(B97,_Pitch!$A$2:$B$129,2,FALSE)</f>
        <v>B5</v>
      </c>
      <c r="D97" t="s">
        <v>883</v>
      </c>
      <c r="E97" s="14" t="s">
        <v>924</v>
      </c>
      <c r="F97" s="14"/>
    </row>
    <row r="98" spans="1:6">
      <c r="A98" s="7">
        <v>96</v>
      </c>
      <c r="B98" s="7">
        <v>96</v>
      </c>
      <c r="C98" t="str">
        <f>VLOOKUP(B98,_Pitch!$A$2:$B$129,2,FALSE)</f>
        <v>C6</v>
      </c>
      <c r="D98" t="s">
        <v>884</v>
      </c>
      <c r="E98" s="14" t="s">
        <v>907</v>
      </c>
      <c r="F98" s="14"/>
    </row>
    <row r="99" spans="1:6">
      <c r="A99" s="7">
        <v>97</v>
      </c>
      <c r="B99" s="7">
        <v>97</v>
      </c>
      <c r="C99" t="str">
        <f>VLOOKUP(B99,_Pitch!$A$2:$B$129,2,FALSE)</f>
        <v>C#6</v>
      </c>
      <c r="D99" t="s">
        <v>845</v>
      </c>
      <c r="E99" s="14" t="s">
        <v>214</v>
      </c>
      <c r="F99" s="14" t="s">
        <v>290</v>
      </c>
    </row>
    <row r="100" spans="1:6">
      <c r="A100" s="7">
        <v>98</v>
      </c>
      <c r="B100" s="7">
        <v>98</v>
      </c>
      <c r="C100" t="str">
        <f>VLOOKUP(B100,_Pitch!$A$2:$B$129,2,FALSE)</f>
        <v>D6</v>
      </c>
      <c r="D100" t="s">
        <v>863</v>
      </c>
      <c r="E100" s="14" t="s">
        <v>213</v>
      </c>
      <c r="F100" s="14"/>
    </row>
    <row r="101" spans="1:6">
      <c r="A101" s="7">
        <v>99</v>
      </c>
      <c r="B101" s="7">
        <v>99</v>
      </c>
      <c r="C101" t="str">
        <f>VLOOKUP(B101,_Pitch!$A$2:$B$129,2,FALSE)</f>
        <v>D#6</v>
      </c>
      <c r="D101" t="s">
        <v>885</v>
      </c>
      <c r="E101" s="14" t="s">
        <v>213</v>
      </c>
      <c r="F101" s="14" t="s">
        <v>290</v>
      </c>
    </row>
    <row r="102" spans="1:6">
      <c r="A102" s="7">
        <v>100</v>
      </c>
      <c r="B102" s="7">
        <v>100</v>
      </c>
      <c r="C102" t="str">
        <f>VLOOKUP(B102,_Pitch!$A$2:$B$129,2,FALSE)</f>
        <v>E6</v>
      </c>
      <c r="D102" t="s">
        <v>886</v>
      </c>
      <c r="E102" s="14" t="s">
        <v>214</v>
      </c>
      <c r="F102" s="14"/>
    </row>
    <row r="103" spans="1:6">
      <c r="A103" s="7">
        <v>101</v>
      </c>
      <c r="B103" s="7">
        <v>101</v>
      </c>
      <c r="C103" t="str">
        <f>VLOOKUP(B103,_Pitch!$A$2:$B$129,2,FALSE)</f>
        <v>F6</v>
      </c>
      <c r="D103" t="s">
        <v>844</v>
      </c>
      <c r="E103" s="14" t="s">
        <v>212</v>
      </c>
      <c r="F103" s="14" t="s">
        <v>290</v>
      </c>
    </row>
    <row r="104" spans="1:6">
      <c r="A104" s="7">
        <v>102</v>
      </c>
      <c r="B104" s="7">
        <v>102</v>
      </c>
      <c r="C104" t="str">
        <f>VLOOKUP(B104,_Pitch!$A$2:$B$129,2,FALSE)</f>
        <v>F#6</v>
      </c>
      <c r="D104" t="s">
        <v>845</v>
      </c>
      <c r="E104" s="14" t="s">
        <v>569</v>
      </c>
      <c r="F104" s="14"/>
    </row>
    <row r="105" spans="1:6">
      <c r="A105" s="7">
        <v>103</v>
      </c>
      <c r="B105" s="7">
        <v>103</v>
      </c>
      <c r="C105" t="str">
        <f>VLOOKUP(B105,_Pitch!$A$2:$B$129,2,FALSE)</f>
        <v>G6</v>
      </c>
      <c r="D105" t="s">
        <v>863</v>
      </c>
      <c r="E105" s="14" t="s">
        <v>569</v>
      </c>
      <c r="F105" s="14" t="s">
        <v>290</v>
      </c>
    </row>
    <row r="106" spans="1:6">
      <c r="A106" s="7">
        <v>104</v>
      </c>
      <c r="B106" s="7">
        <v>104</v>
      </c>
      <c r="C106" t="str">
        <f>VLOOKUP(B106,_Pitch!$A$2:$B$129,2,FALSE)</f>
        <v>G#6</v>
      </c>
      <c r="D106" t="s">
        <v>885</v>
      </c>
      <c r="E106" s="14" t="s">
        <v>569</v>
      </c>
      <c r="F106" s="14" t="s">
        <v>290</v>
      </c>
    </row>
    <row r="107" spans="1:6">
      <c r="A107" s="7">
        <v>105</v>
      </c>
      <c r="B107" s="7">
        <v>105</v>
      </c>
      <c r="C107" t="str">
        <f>VLOOKUP(B107,_Pitch!$A$2:$B$129,2,FALSE)</f>
        <v>A6</v>
      </c>
      <c r="D107" t="s">
        <v>886</v>
      </c>
      <c r="E107" s="14" t="s">
        <v>214</v>
      </c>
      <c r="F107" s="14" t="s">
        <v>290</v>
      </c>
    </row>
    <row r="108" spans="1:6">
      <c r="A108" s="7">
        <v>106</v>
      </c>
      <c r="B108" s="7">
        <v>106</v>
      </c>
      <c r="C108" t="str">
        <f>VLOOKUP(B108,_Pitch!$A$2:$B$129,2,FALSE)</f>
        <v>A#6</v>
      </c>
      <c r="D108" t="s">
        <v>864</v>
      </c>
      <c r="E108" s="14" t="s">
        <v>216</v>
      </c>
      <c r="F108" s="14" t="s">
        <v>290</v>
      </c>
    </row>
    <row r="109" spans="1:6">
      <c r="A109" s="7">
        <v>107</v>
      </c>
      <c r="B109" s="7">
        <v>107</v>
      </c>
      <c r="C109" t="str">
        <f>VLOOKUP(B109,_Pitch!$A$2:$B$129,2,FALSE)</f>
        <v>B6</v>
      </c>
      <c r="D109" t="s">
        <v>887</v>
      </c>
      <c r="E109" s="14" t="s">
        <v>463</v>
      </c>
      <c r="F109" s="14"/>
    </row>
    <row r="110" spans="1:6">
      <c r="A110" s="7">
        <v>108</v>
      </c>
      <c r="B110" s="7">
        <v>108</v>
      </c>
      <c r="C110" t="str">
        <f>VLOOKUP(B110,_Pitch!$A$2:$B$129,2,FALSE)</f>
        <v>C7</v>
      </c>
      <c r="D110" t="s">
        <v>888</v>
      </c>
      <c r="E110" s="14" t="s">
        <v>466</v>
      </c>
      <c r="F110" s="14"/>
    </row>
    <row r="111" spans="1:6">
      <c r="A111" s="7">
        <v>109</v>
      </c>
      <c r="B111" s="7">
        <v>109</v>
      </c>
      <c r="C111" t="str">
        <f>VLOOKUP(B111,_Pitch!$A$2:$B$129,2,FALSE)</f>
        <v>C#7</v>
      </c>
      <c r="D111" t="s">
        <v>889</v>
      </c>
      <c r="E111" s="14" t="s">
        <v>465</v>
      </c>
      <c r="F111" s="14"/>
    </row>
    <row r="112" spans="1:6">
      <c r="A112" s="7">
        <v>110</v>
      </c>
      <c r="B112" s="7">
        <v>110</v>
      </c>
      <c r="C112" t="str">
        <f>VLOOKUP(B112,_Pitch!$A$2:$B$129,2,FALSE)</f>
        <v>D7</v>
      </c>
      <c r="D112" t="s">
        <v>890</v>
      </c>
      <c r="E112" s="14" t="s">
        <v>423</v>
      </c>
      <c r="F112" s="14"/>
    </row>
    <row r="113" spans="1:6">
      <c r="A113" s="7">
        <v>111</v>
      </c>
      <c r="B113" s="7">
        <v>111</v>
      </c>
      <c r="C113" t="str">
        <f>VLOOKUP(B113,_Pitch!$A$2:$B$129,2,FALSE)</f>
        <v>D#7</v>
      </c>
      <c r="D113" t="s">
        <v>891</v>
      </c>
      <c r="E113" s="14" t="s">
        <v>937</v>
      </c>
      <c r="F113" s="14"/>
    </row>
    <row r="114" spans="1:6">
      <c r="A114" s="7">
        <v>112</v>
      </c>
      <c r="B114" s="7">
        <v>112</v>
      </c>
      <c r="C114" t="str">
        <f>VLOOKUP(B114,_Pitch!$A$2:$B$129,2,FALSE)</f>
        <v>E7</v>
      </c>
      <c r="D114" t="s">
        <v>892</v>
      </c>
      <c r="E114" s="14" t="s">
        <v>384</v>
      </c>
      <c r="F114" s="14"/>
    </row>
    <row r="115" spans="1:6">
      <c r="A115" s="7">
        <v>113</v>
      </c>
      <c r="B115" s="7">
        <v>113</v>
      </c>
      <c r="C115" t="str">
        <f>VLOOKUP(B115,_Pitch!$A$2:$B$129,2,FALSE)</f>
        <v>F7</v>
      </c>
      <c r="D115" t="s">
        <v>842</v>
      </c>
      <c r="E115" s="14" t="s">
        <v>178</v>
      </c>
      <c r="F115" s="14" t="s">
        <v>290</v>
      </c>
    </row>
    <row r="116" spans="1:6">
      <c r="A116" s="7">
        <v>114</v>
      </c>
      <c r="B116" s="7">
        <v>114</v>
      </c>
      <c r="C116" t="str">
        <f>VLOOKUP(B116,_Pitch!$A$2:$B$129,2,FALSE)</f>
        <v>F#7</v>
      </c>
      <c r="D116" t="s">
        <v>859</v>
      </c>
      <c r="E116" s="14" t="s">
        <v>181</v>
      </c>
      <c r="F116" s="14" t="s">
        <v>290</v>
      </c>
    </row>
    <row r="117" spans="1:6">
      <c r="A117" s="7">
        <v>115</v>
      </c>
      <c r="B117" s="7">
        <v>115</v>
      </c>
      <c r="C117" t="str">
        <f>VLOOKUP(B117,_Pitch!$A$2:$B$129,2,FALSE)</f>
        <v>G7</v>
      </c>
      <c r="D117" t="s">
        <v>865</v>
      </c>
      <c r="E117" s="14" t="s">
        <v>182</v>
      </c>
      <c r="F117" s="14" t="s">
        <v>290</v>
      </c>
    </row>
    <row r="118" spans="1:6">
      <c r="A118" s="7">
        <v>116</v>
      </c>
      <c r="B118" s="7">
        <v>116</v>
      </c>
      <c r="C118" t="str">
        <f>VLOOKUP(B118,_Pitch!$A$2:$B$129,2,FALSE)</f>
        <v>G#7</v>
      </c>
      <c r="D118" t="s">
        <v>893</v>
      </c>
      <c r="E118" s="14" t="s">
        <v>179</v>
      </c>
      <c r="F118" s="14"/>
    </row>
    <row r="119" spans="1:6">
      <c r="A119" s="7">
        <v>117</v>
      </c>
      <c r="B119" s="7">
        <v>117</v>
      </c>
      <c r="C119" t="str">
        <f>VLOOKUP(B119,_Pitch!$A$2:$B$129,2,FALSE)</f>
        <v>A7</v>
      </c>
      <c r="D119" t="s">
        <v>843</v>
      </c>
      <c r="E119" s="14" t="s">
        <v>180</v>
      </c>
      <c r="F119" s="14" t="s">
        <v>290</v>
      </c>
    </row>
    <row r="120" spans="1:6">
      <c r="A120" s="7">
        <v>118</v>
      </c>
      <c r="B120" s="7">
        <v>118</v>
      </c>
      <c r="C120" t="str">
        <f>VLOOKUP(B120,_Pitch!$A$2:$B$129,2,FALSE)</f>
        <v>A#7</v>
      </c>
      <c r="D120" t="s">
        <v>894</v>
      </c>
      <c r="E120" s="14" t="s">
        <v>183</v>
      </c>
      <c r="F120" s="14"/>
    </row>
    <row r="121" spans="1:6">
      <c r="A121" s="7">
        <v>119</v>
      </c>
      <c r="B121" s="7">
        <v>119</v>
      </c>
      <c r="C121" t="str">
        <f>VLOOKUP(B121,_Pitch!$A$2:$B$129,2,FALSE)</f>
        <v>B7</v>
      </c>
      <c r="D121" t="s">
        <v>895</v>
      </c>
      <c r="E121" s="14" t="s">
        <v>155</v>
      </c>
      <c r="F121" s="14"/>
    </row>
    <row r="122" spans="1:6">
      <c r="A122" s="7">
        <v>120</v>
      </c>
      <c r="B122" s="7">
        <v>120</v>
      </c>
      <c r="C122" t="str">
        <f>VLOOKUP(B122,_Pitch!$A$2:$B$129,2,FALSE)</f>
        <v>C8</v>
      </c>
      <c r="D122" t="s">
        <v>896</v>
      </c>
      <c r="E122" s="14" t="s">
        <v>170</v>
      </c>
      <c r="F122" s="14"/>
    </row>
    <row r="123" spans="1:6">
      <c r="A123" s="7">
        <v>121</v>
      </c>
      <c r="B123" s="7">
        <v>121</v>
      </c>
      <c r="C123" t="str">
        <f>VLOOKUP(B123,_Pitch!$A$2:$B$129,2,FALSE)</f>
        <v>C#8</v>
      </c>
      <c r="D123" t="s">
        <v>897</v>
      </c>
      <c r="E123" s="14" t="s">
        <v>171</v>
      </c>
      <c r="F123" s="14"/>
    </row>
    <row r="124" spans="1:6">
      <c r="A124" s="7">
        <v>122</v>
      </c>
      <c r="B124" s="7">
        <v>122</v>
      </c>
      <c r="C124" t="str">
        <f>VLOOKUP(B124,_Pitch!$A$2:$B$129,2,FALSE)</f>
        <v>D8</v>
      </c>
      <c r="D124" t="s">
        <v>898</v>
      </c>
      <c r="E124" s="14" t="s">
        <v>172</v>
      </c>
      <c r="F124" s="14"/>
    </row>
    <row r="125" spans="1:6">
      <c r="A125" s="7">
        <v>123</v>
      </c>
      <c r="B125" s="7">
        <v>123</v>
      </c>
      <c r="C125" t="str">
        <f>VLOOKUP(B125,_Pitch!$A$2:$B$129,2,FALSE)</f>
        <v>D#8</v>
      </c>
      <c r="D125" t="s">
        <v>899</v>
      </c>
      <c r="E125" s="14" t="s">
        <v>173</v>
      </c>
      <c r="F125" s="14"/>
    </row>
    <row r="126" spans="1:6">
      <c r="A126" s="7">
        <v>124</v>
      </c>
      <c r="B126" s="7">
        <v>124</v>
      </c>
      <c r="C126" t="str">
        <f>VLOOKUP(B126,_Pitch!$A$2:$B$129,2,FALSE)</f>
        <v>E8</v>
      </c>
      <c r="D126" t="s">
        <v>900</v>
      </c>
      <c r="E126" s="14" t="s">
        <v>174</v>
      </c>
      <c r="F126" s="14"/>
    </row>
    <row r="127" spans="1:6">
      <c r="A127" s="7">
        <v>125</v>
      </c>
      <c r="B127" s="7">
        <v>125</v>
      </c>
      <c r="C127" t="str">
        <f>VLOOKUP(B127,_Pitch!$A$2:$B$129,2,FALSE)</f>
        <v>F8</v>
      </c>
      <c r="D127" t="s">
        <v>901</v>
      </c>
      <c r="E127" s="14" t="s">
        <v>138</v>
      </c>
      <c r="F127" s="14"/>
    </row>
    <row r="128" spans="1:6">
      <c r="A128" s="7">
        <v>126</v>
      </c>
      <c r="B128" s="7">
        <v>126</v>
      </c>
      <c r="C128" t="str">
        <f>VLOOKUP(B128,_Pitch!$A$2:$B$129,2,FALSE)</f>
        <v>F#8</v>
      </c>
      <c r="D128" t="s">
        <v>852</v>
      </c>
      <c r="E128" s="14" t="s">
        <v>1077</v>
      </c>
      <c r="F128" s="14" t="s">
        <v>290</v>
      </c>
    </row>
    <row r="129" spans="1:6">
      <c r="A129" s="7">
        <v>127</v>
      </c>
      <c r="B129" s="7">
        <v>127</v>
      </c>
      <c r="C129" t="str">
        <f>VLOOKUP(B129,_Pitch!$A$2:$B$129,2,FALSE)</f>
        <v>G8</v>
      </c>
      <c r="D129" t="s">
        <v>849</v>
      </c>
      <c r="E129" s="14" t="s">
        <v>145</v>
      </c>
      <c r="F129" s="14" t="s">
        <v>290</v>
      </c>
    </row>
  </sheetData>
  <autoFilter ref="A1:G129" xr:uid="{420B7D38-C93C-468A-9936-2D11D49A38AE}"/>
  <sortState xmlns:xlrd2="http://schemas.microsoft.com/office/spreadsheetml/2017/richdata2" ref="A29:G114">
    <sortCondition ref="D2:D129"/>
  </sortState>
  <phoneticPr fontId="1"/>
  <dataValidations count="1">
    <dataValidation type="list" allowBlank="1" showInputMessage="1" showErrorMessage="1" sqref="F2:F129" xr:uid="{A852FF58-1447-4C3F-B9F7-9D8201EA56DE}">
      <formula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EC8D30F3-8C65-49FC-98AB-66C235D05487}">
          <x14:formula1>
            <xm:f>_Articulation!$B$2:B$158</xm:f>
          </x14:formula1>
          <xm:sqref>E2:E129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0F0F8-08EB-4A7D-BFDA-EEFFB8B1C34E}">
  <sheetPr codeName="Sheet16"/>
  <dimension ref="A1:G129"/>
  <sheetViews>
    <sheetView workbookViewId="0">
      <pane ySplit="1" topLeftCell="A2" activePane="bottomLeft" state="frozen"/>
      <selection activeCell="D14" sqref="D14"/>
      <selection pane="bottomLeft" activeCell="A2" sqref="A2"/>
    </sheetView>
  </sheetViews>
  <sheetFormatPr defaultRowHeight="13.5"/>
  <cols>
    <col min="1" max="1" width="4.5" style="7" bestFit="1" customWidth="1"/>
    <col min="2" max="2" width="4.5" bestFit="1" customWidth="1"/>
    <col min="3" max="3" width="5.5" bestFit="1" customWidth="1"/>
    <col min="4" max="4" width="45.625" customWidth="1"/>
    <col min="5" max="5" width="28.25" customWidth="1"/>
    <col min="6" max="6" width="10.25" customWidth="1"/>
  </cols>
  <sheetData>
    <row r="1" spans="1:7" s="6" customFormat="1" ht="141.75" customHeight="1">
      <c r="A1" s="15" t="s">
        <v>130</v>
      </c>
      <c r="B1" s="15" t="s">
        <v>1105</v>
      </c>
      <c r="C1" s="15" t="s">
        <v>1106</v>
      </c>
      <c r="D1" s="16" t="s">
        <v>131</v>
      </c>
      <c r="E1" s="23" t="s">
        <v>132</v>
      </c>
      <c r="F1" s="17" t="s">
        <v>664</v>
      </c>
      <c r="G1" s="15" t="s">
        <v>696</v>
      </c>
    </row>
    <row r="2" spans="1:7">
      <c r="A2" s="7">
        <v>0</v>
      </c>
      <c r="B2" s="7">
        <v>0</v>
      </c>
      <c r="C2" t="str">
        <f>VLOOKUP(B2,_Pitch!$A$2:$B$129,2,FALSE)</f>
        <v>C-2</v>
      </c>
      <c r="D2" s="14"/>
      <c r="E2" s="14"/>
      <c r="F2" s="14"/>
    </row>
    <row r="3" spans="1:7">
      <c r="A3" s="7">
        <v>1</v>
      </c>
      <c r="B3" s="7">
        <v>1</v>
      </c>
      <c r="C3" t="str">
        <f>VLOOKUP(B3,_Pitch!$A$2:$B$129,2,FALSE)</f>
        <v>C#-2</v>
      </c>
      <c r="D3" s="14"/>
      <c r="E3" s="14"/>
      <c r="F3" s="14"/>
    </row>
    <row r="4" spans="1:7">
      <c r="A4" s="7">
        <v>2</v>
      </c>
      <c r="B4" s="7">
        <v>2</v>
      </c>
      <c r="C4" t="str">
        <f>VLOOKUP(B4,_Pitch!$A$2:$B$129,2,FALSE)</f>
        <v>D-2</v>
      </c>
      <c r="D4" s="14"/>
      <c r="E4" s="14"/>
      <c r="F4" s="14"/>
    </row>
    <row r="5" spans="1:7">
      <c r="A5" s="7">
        <v>3</v>
      </c>
      <c r="B5" s="7">
        <v>3</v>
      </c>
      <c r="C5" t="str">
        <f>VLOOKUP(B5,_Pitch!$A$2:$B$129,2,FALSE)</f>
        <v>D#-2</v>
      </c>
      <c r="D5" s="14"/>
      <c r="E5" s="14"/>
      <c r="F5" s="14"/>
    </row>
    <row r="6" spans="1:7">
      <c r="A6" s="7">
        <v>4</v>
      </c>
      <c r="B6" s="7">
        <v>4</v>
      </c>
      <c r="C6" t="str">
        <f>VLOOKUP(B6,_Pitch!$A$2:$B$129,2,FALSE)</f>
        <v>E-2</v>
      </c>
      <c r="D6" s="14"/>
      <c r="E6" s="14"/>
      <c r="F6" s="14"/>
    </row>
    <row r="7" spans="1:7">
      <c r="A7" s="7">
        <v>5</v>
      </c>
      <c r="B7" s="7">
        <v>5</v>
      </c>
      <c r="C7" t="str">
        <f>VLOOKUP(B7,_Pitch!$A$2:$B$129,2,FALSE)</f>
        <v>F-2</v>
      </c>
      <c r="D7" s="14"/>
      <c r="E7" s="14"/>
      <c r="F7" s="14"/>
    </row>
    <row r="8" spans="1:7">
      <c r="A8" s="7">
        <v>6</v>
      </c>
      <c r="B8" s="7">
        <v>6</v>
      </c>
      <c r="C8" t="str">
        <f>VLOOKUP(B8,_Pitch!$A$2:$B$129,2,FALSE)</f>
        <v>F#-2</v>
      </c>
      <c r="D8" s="14"/>
      <c r="E8" s="14"/>
      <c r="F8" s="14"/>
    </row>
    <row r="9" spans="1:7">
      <c r="A9" s="7">
        <v>7</v>
      </c>
      <c r="B9" s="7">
        <v>7</v>
      </c>
      <c r="C9" t="str">
        <f>VLOOKUP(B9,_Pitch!$A$2:$B$129,2,FALSE)</f>
        <v>G-2</v>
      </c>
      <c r="D9" s="14"/>
      <c r="E9" s="14"/>
      <c r="F9" s="14"/>
    </row>
    <row r="10" spans="1:7">
      <c r="A10" s="7">
        <v>8</v>
      </c>
      <c r="B10" s="7">
        <v>8</v>
      </c>
      <c r="C10" t="str">
        <f>VLOOKUP(B10,_Pitch!$A$2:$B$129,2,FALSE)</f>
        <v>G#-2</v>
      </c>
      <c r="D10" s="14"/>
      <c r="E10" s="14"/>
      <c r="F10" s="14"/>
    </row>
    <row r="11" spans="1:7">
      <c r="A11" s="7">
        <v>9</v>
      </c>
      <c r="B11" s="7">
        <v>9</v>
      </c>
      <c r="C11" t="str">
        <f>VLOOKUP(B11,_Pitch!$A$2:$B$129,2,FALSE)</f>
        <v>A-2</v>
      </c>
      <c r="D11" s="14"/>
      <c r="E11" s="14"/>
      <c r="F11" s="14"/>
    </row>
    <row r="12" spans="1:7">
      <c r="A12" s="7">
        <v>10</v>
      </c>
      <c r="B12" s="7">
        <v>10</v>
      </c>
      <c r="C12" t="str">
        <f>VLOOKUP(B12,_Pitch!$A$2:$B$129,2,FALSE)</f>
        <v>A#-2</v>
      </c>
      <c r="D12" s="14"/>
      <c r="E12" s="14"/>
      <c r="F12" s="14"/>
    </row>
    <row r="13" spans="1:7">
      <c r="A13" s="7">
        <v>11</v>
      </c>
      <c r="B13" s="7">
        <v>11</v>
      </c>
      <c r="C13" t="str">
        <f>VLOOKUP(B13,_Pitch!$A$2:$B$129,2,FALSE)</f>
        <v>B-2</v>
      </c>
      <c r="D13" s="14"/>
      <c r="E13" s="14"/>
      <c r="F13" s="14"/>
    </row>
    <row r="14" spans="1:7">
      <c r="A14" s="7">
        <v>12</v>
      </c>
      <c r="B14" s="7">
        <v>12</v>
      </c>
      <c r="C14" t="str">
        <f>VLOOKUP(B14,_Pitch!$A$2:$B$129,2,FALSE)</f>
        <v>C-1</v>
      </c>
      <c r="D14" s="14"/>
      <c r="E14" s="14"/>
      <c r="F14" s="14"/>
    </row>
    <row r="15" spans="1:7">
      <c r="A15" s="7">
        <v>13</v>
      </c>
      <c r="B15" s="7">
        <v>13</v>
      </c>
      <c r="C15" t="str">
        <f>VLOOKUP(B15,_Pitch!$A$2:$B$129,2,FALSE)</f>
        <v>C#-1</v>
      </c>
      <c r="D15" s="14"/>
      <c r="E15" s="14"/>
      <c r="F15" s="14"/>
    </row>
    <row r="16" spans="1:7">
      <c r="A16" s="7">
        <v>14</v>
      </c>
      <c r="B16" s="7">
        <v>14</v>
      </c>
      <c r="C16" t="str">
        <f>VLOOKUP(B16,_Pitch!$A$2:$B$129,2,FALSE)</f>
        <v>D-1</v>
      </c>
      <c r="D16" s="14"/>
      <c r="E16" s="14"/>
      <c r="F16" s="14"/>
    </row>
    <row r="17" spans="1:6">
      <c r="A17" s="7">
        <v>15</v>
      </c>
      <c r="B17" s="7">
        <v>15</v>
      </c>
      <c r="C17" t="str">
        <f>VLOOKUP(B17,_Pitch!$A$2:$B$129,2,FALSE)</f>
        <v>D#-1</v>
      </c>
      <c r="D17" s="14"/>
      <c r="E17" s="14"/>
      <c r="F17" s="14"/>
    </row>
    <row r="18" spans="1:6">
      <c r="A18" s="7">
        <v>16</v>
      </c>
      <c r="B18" s="7">
        <v>16</v>
      </c>
      <c r="C18" t="str">
        <f>VLOOKUP(B18,_Pitch!$A$2:$B$129,2,FALSE)</f>
        <v>E-1</v>
      </c>
      <c r="D18" s="14"/>
      <c r="E18" s="14"/>
      <c r="F18" s="14"/>
    </row>
    <row r="19" spans="1:6">
      <c r="A19" s="7">
        <v>17</v>
      </c>
      <c r="B19" s="7">
        <v>17</v>
      </c>
      <c r="C19" t="str">
        <f>VLOOKUP(B19,_Pitch!$A$2:$B$129,2,FALSE)</f>
        <v>F-1</v>
      </c>
      <c r="D19" s="14"/>
      <c r="E19" s="14"/>
      <c r="F19" s="14"/>
    </row>
    <row r="20" spans="1:6">
      <c r="A20" s="7">
        <v>18</v>
      </c>
      <c r="B20" s="7">
        <v>18</v>
      </c>
      <c r="C20" t="str">
        <f>VLOOKUP(B20,_Pitch!$A$2:$B$129,2,FALSE)</f>
        <v>F#-1</v>
      </c>
      <c r="D20" s="14"/>
      <c r="E20" s="14"/>
      <c r="F20" s="14"/>
    </row>
    <row r="21" spans="1:6">
      <c r="A21" s="7">
        <v>19</v>
      </c>
      <c r="B21" s="7">
        <v>19</v>
      </c>
      <c r="C21" t="str">
        <f>VLOOKUP(B21,_Pitch!$A$2:$B$129,2,FALSE)</f>
        <v>G-1</v>
      </c>
      <c r="D21" s="14"/>
      <c r="E21" s="14"/>
      <c r="F21" s="14"/>
    </row>
    <row r="22" spans="1:6">
      <c r="A22" s="7">
        <v>20</v>
      </c>
      <c r="B22" s="7">
        <v>20</v>
      </c>
      <c r="C22" t="str">
        <f>VLOOKUP(B22,_Pitch!$A$2:$B$129,2,FALSE)</f>
        <v>G#-1</v>
      </c>
      <c r="D22" s="14"/>
      <c r="E22" s="14"/>
      <c r="F22" s="14"/>
    </row>
    <row r="23" spans="1:6">
      <c r="A23" s="7">
        <v>21</v>
      </c>
      <c r="B23" s="7">
        <v>21</v>
      </c>
      <c r="C23" t="str">
        <f>VLOOKUP(B23,_Pitch!$A$2:$B$129,2,FALSE)</f>
        <v>A-1</v>
      </c>
      <c r="D23" s="14"/>
      <c r="E23" s="14"/>
      <c r="F23" s="14"/>
    </row>
    <row r="24" spans="1:6">
      <c r="A24" s="7">
        <v>22</v>
      </c>
      <c r="B24" s="7">
        <v>22</v>
      </c>
      <c r="C24" t="str">
        <f>VLOOKUP(B24,_Pitch!$A$2:$B$129,2,FALSE)</f>
        <v>A#-1</v>
      </c>
      <c r="D24" s="14" t="s">
        <v>478</v>
      </c>
      <c r="E24" s="14" t="s">
        <v>210</v>
      </c>
      <c r="F24" s="14"/>
    </row>
    <row r="25" spans="1:6">
      <c r="A25" s="7">
        <v>23</v>
      </c>
      <c r="B25" s="7">
        <v>23</v>
      </c>
      <c r="C25" t="str">
        <f>VLOOKUP(B25,_Pitch!$A$2:$B$129,2,FALSE)</f>
        <v>B-1</v>
      </c>
      <c r="D25" s="14" t="s">
        <v>479</v>
      </c>
      <c r="E25" s="14" t="s">
        <v>183</v>
      </c>
      <c r="F25" s="14"/>
    </row>
    <row r="26" spans="1:6">
      <c r="A26" s="7">
        <v>24</v>
      </c>
      <c r="B26" s="7">
        <v>24</v>
      </c>
      <c r="C26" t="str">
        <f>VLOOKUP(B26,_Pitch!$A$2:$B$129,2,FALSE)</f>
        <v>C0</v>
      </c>
      <c r="D26" s="14" t="s">
        <v>480</v>
      </c>
      <c r="E26" s="14" t="s">
        <v>216</v>
      </c>
      <c r="F26" s="14"/>
    </row>
    <row r="27" spans="1:6">
      <c r="A27" s="7">
        <v>25</v>
      </c>
      <c r="B27" s="7">
        <v>25</v>
      </c>
      <c r="C27" t="str">
        <f>VLOOKUP(B27,_Pitch!$A$2:$B$129,2,FALSE)</f>
        <v>C#0</v>
      </c>
      <c r="D27" s="14" t="s">
        <v>481</v>
      </c>
      <c r="E27" s="14" t="s">
        <v>919</v>
      </c>
      <c r="F27" s="14"/>
    </row>
    <row r="28" spans="1:6">
      <c r="A28" s="7">
        <v>26</v>
      </c>
      <c r="B28" s="7">
        <v>26</v>
      </c>
      <c r="C28" t="str">
        <f>VLOOKUP(B28,_Pitch!$A$2:$B$129,2,FALSE)</f>
        <v>D0</v>
      </c>
      <c r="D28" s="14" t="s">
        <v>482</v>
      </c>
      <c r="E28" s="14" t="s">
        <v>914</v>
      </c>
      <c r="F28" s="14"/>
    </row>
    <row r="29" spans="1:6">
      <c r="A29" s="7">
        <v>27</v>
      </c>
      <c r="B29" s="7">
        <v>27</v>
      </c>
      <c r="C29" t="str">
        <f>VLOOKUP(B29,_Pitch!$A$2:$B$129,2,FALSE)</f>
        <v>D#0</v>
      </c>
      <c r="D29" s="14" t="s">
        <v>483</v>
      </c>
      <c r="E29" s="14"/>
      <c r="F29" s="14"/>
    </row>
    <row r="30" spans="1:6">
      <c r="A30" s="7">
        <v>28</v>
      </c>
      <c r="B30" s="7">
        <v>28</v>
      </c>
      <c r="C30" t="str">
        <f>VLOOKUP(B30,_Pitch!$A$2:$B$129,2,FALSE)</f>
        <v>E0</v>
      </c>
      <c r="D30" s="14" t="s">
        <v>484</v>
      </c>
      <c r="E30" s="14"/>
      <c r="F30" s="14"/>
    </row>
    <row r="31" spans="1:6">
      <c r="A31" s="7">
        <v>29</v>
      </c>
      <c r="B31" s="7">
        <v>29</v>
      </c>
      <c r="C31" t="str">
        <f>VLOOKUP(B31,_Pitch!$A$2:$B$129,2,FALSE)</f>
        <v>F0</v>
      </c>
      <c r="D31" s="14" t="s">
        <v>485</v>
      </c>
      <c r="E31" s="14"/>
      <c r="F31" s="14"/>
    </row>
    <row r="32" spans="1:6">
      <c r="A32" s="7">
        <v>30</v>
      </c>
      <c r="B32" s="7">
        <v>30</v>
      </c>
      <c r="C32" t="str">
        <f>VLOOKUP(B32,_Pitch!$A$2:$B$129,2,FALSE)</f>
        <v>F#0</v>
      </c>
      <c r="D32" s="14" t="s">
        <v>486</v>
      </c>
      <c r="E32" s="14"/>
      <c r="F32" s="14"/>
    </row>
    <row r="33" spans="1:6">
      <c r="A33" s="7">
        <v>31</v>
      </c>
      <c r="B33" s="7">
        <v>31</v>
      </c>
      <c r="C33" t="str">
        <f>VLOOKUP(B33,_Pitch!$A$2:$B$129,2,FALSE)</f>
        <v>G0</v>
      </c>
      <c r="D33" s="14" t="s">
        <v>487</v>
      </c>
      <c r="E33" s="14"/>
      <c r="F33" s="14"/>
    </row>
    <row r="34" spans="1:6">
      <c r="A34" s="7">
        <v>32</v>
      </c>
      <c r="B34" s="7">
        <v>32</v>
      </c>
      <c r="C34" t="str">
        <f>VLOOKUP(B34,_Pitch!$A$2:$B$129,2,FALSE)</f>
        <v>G#0</v>
      </c>
      <c r="D34" s="14" t="s">
        <v>488</v>
      </c>
      <c r="E34" s="14"/>
      <c r="F34" s="14"/>
    </row>
    <row r="35" spans="1:6">
      <c r="A35" s="7">
        <v>33</v>
      </c>
      <c r="B35" s="7">
        <v>33</v>
      </c>
      <c r="C35" t="str">
        <f>VLOOKUP(B35,_Pitch!$A$2:$B$129,2,FALSE)</f>
        <v>A0</v>
      </c>
      <c r="D35" s="14" t="s">
        <v>489</v>
      </c>
      <c r="E35" s="14"/>
      <c r="F35" s="14"/>
    </row>
    <row r="36" spans="1:6">
      <c r="A36" s="7">
        <v>34</v>
      </c>
      <c r="B36" s="7">
        <v>34</v>
      </c>
      <c r="C36" t="str">
        <f>VLOOKUP(B36,_Pitch!$A$2:$B$129,2,FALSE)</f>
        <v>A#0</v>
      </c>
      <c r="D36" s="14" t="s">
        <v>490</v>
      </c>
      <c r="E36" s="14"/>
      <c r="F36" s="14"/>
    </row>
    <row r="37" spans="1:6">
      <c r="A37" s="7">
        <v>35</v>
      </c>
      <c r="B37" s="7">
        <v>35</v>
      </c>
      <c r="C37" t="str">
        <f>VLOOKUP(B37,_Pitch!$A$2:$B$129,2,FALSE)</f>
        <v>B0</v>
      </c>
      <c r="D37" s="14" t="s">
        <v>491</v>
      </c>
      <c r="E37" s="14" t="s">
        <v>330</v>
      </c>
      <c r="F37" s="14"/>
    </row>
    <row r="38" spans="1:6">
      <c r="A38" s="7">
        <v>36</v>
      </c>
      <c r="B38" s="7">
        <v>36</v>
      </c>
      <c r="C38" t="str">
        <f>VLOOKUP(B38,_Pitch!$A$2:$B$129,2,FALSE)</f>
        <v>C1</v>
      </c>
      <c r="D38" s="14" t="s">
        <v>492</v>
      </c>
      <c r="E38" s="14" t="s">
        <v>133</v>
      </c>
      <c r="F38" s="14"/>
    </row>
    <row r="39" spans="1:6">
      <c r="A39" s="7">
        <v>37</v>
      </c>
      <c r="B39" s="7">
        <v>37</v>
      </c>
      <c r="C39" t="str">
        <f>VLOOKUP(B39,_Pitch!$A$2:$B$129,2,FALSE)</f>
        <v>C#1</v>
      </c>
      <c r="D39" s="14" t="s">
        <v>493</v>
      </c>
      <c r="E39" s="14" t="s">
        <v>145</v>
      </c>
      <c r="F39" s="14"/>
    </row>
    <row r="40" spans="1:6">
      <c r="A40" s="7">
        <v>38</v>
      </c>
      <c r="B40" s="7">
        <v>38</v>
      </c>
      <c r="C40" t="str">
        <f>VLOOKUP(B40,_Pitch!$A$2:$B$129,2,FALSE)</f>
        <v>D1</v>
      </c>
      <c r="D40" s="14" t="s">
        <v>494</v>
      </c>
      <c r="E40" s="14" t="s">
        <v>561</v>
      </c>
      <c r="F40" s="14"/>
    </row>
    <row r="41" spans="1:6">
      <c r="A41" s="7">
        <v>39</v>
      </c>
      <c r="B41" s="7">
        <v>39</v>
      </c>
      <c r="C41" t="str">
        <f>VLOOKUP(B41,_Pitch!$A$2:$B$129,2,FALSE)</f>
        <v>D#1</v>
      </c>
      <c r="D41" s="14" t="s">
        <v>495</v>
      </c>
      <c r="E41" s="14" t="s">
        <v>1077</v>
      </c>
      <c r="F41" s="14"/>
    </row>
    <row r="42" spans="1:6">
      <c r="A42" s="7">
        <v>40</v>
      </c>
      <c r="B42" s="7">
        <v>40</v>
      </c>
      <c r="C42" t="str">
        <f>VLOOKUP(B42,_Pitch!$A$2:$B$129,2,FALSE)</f>
        <v>E1</v>
      </c>
      <c r="D42" s="14" t="s">
        <v>496</v>
      </c>
      <c r="E42" s="14" t="s">
        <v>138</v>
      </c>
      <c r="F42" s="14"/>
    </row>
    <row r="43" spans="1:6">
      <c r="A43" s="7">
        <v>41</v>
      </c>
      <c r="B43" s="7">
        <v>41</v>
      </c>
      <c r="C43" t="str">
        <f>VLOOKUP(B43,_Pitch!$A$2:$B$129,2,FALSE)</f>
        <v>F1</v>
      </c>
      <c r="D43" s="14" t="s">
        <v>497</v>
      </c>
      <c r="E43" s="14" t="s">
        <v>557</v>
      </c>
      <c r="F43" s="14"/>
    </row>
    <row r="44" spans="1:6">
      <c r="A44" s="7">
        <v>42</v>
      </c>
      <c r="B44" s="7">
        <v>42</v>
      </c>
      <c r="C44" t="str">
        <f>VLOOKUP(B44,_Pitch!$A$2:$B$129,2,FALSE)</f>
        <v>F#1</v>
      </c>
      <c r="D44" s="14" t="s">
        <v>498</v>
      </c>
      <c r="E44" s="14" t="s">
        <v>153</v>
      </c>
      <c r="F44" s="14"/>
    </row>
    <row r="45" spans="1:6">
      <c r="A45" s="7">
        <v>43</v>
      </c>
      <c r="B45" s="7">
        <v>43</v>
      </c>
      <c r="C45" t="str">
        <f>VLOOKUP(B45,_Pitch!$A$2:$B$129,2,FALSE)</f>
        <v>G1</v>
      </c>
      <c r="D45" s="14" t="s">
        <v>499</v>
      </c>
      <c r="E45" s="14" t="s">
        <v>558</v>
      </c>
      <c r="F45" s="14"/>
    </row>
    <row r="46" spans="1:6">
      <c r="A46" s="7">
        <v>44</v>
      </c>
      <c r="B46" s="7">
        <v>44</v>
      </c>
      <c r="C46" t="str">
        <f>VLOOKUP(B46,_Pitch!$A$2:$B$129,2,FALSE)</f>
        <v>G#1</v>
      </c>
      <c r="D46" s="14" t="s">
        <v>500</v>
      </c>
      <c r="E46" s="14" t="s">
        <v>1068</v>
      </c>
      <c r="F46" s="14"/>
    </row>
    <row r="47" spans="1:6">
      <c r="A47" s="7">
        <v>45</v>
      </c>
      <c r="B47" s="7">
        <v>45</v>
      </c>
      <c r="C47" t="str">
        <f>VLOOKUP(B47,_Pitch!$A$2:$B$129,2,FALSE)</f>
        <v>A1</v>
      </c>
      <c r="D47" s="14" t="s">
        <v>501</v>
      </c>
      <c r="E47" s="14" t="s">
        <v>559</v>
      </c>
      <c r="F47" s="14"/>
    </row>
    <row r="48" spans="1:6">
      <c r="A48" s="7">
        <v>46</v>
      </c>
      <c r="B48" s="7">
        <v>46</v>
      </c>
      <c r="C48" t="str">
        <f>VLOOKUP(B48,_Pitch!$A$2:$B$129,2,FALSE)</f>
        <v>A#1</v>
      </c>
      <c r="D48" s="14" t="s">
        <v>502</v>
      </c>
      <c r="E48" s="14"/>
      <c r="F48" s="14"/>
    </row>
    <row r="49" spans="1:6">
      <c r="A49" s="7">
        <v>47</v>
      </c>
      <c r="B49" s="7">
        <v>47</v>
      </c>
      <c r="C49" t="str">
        <f>VLOOKUP(B49,_Pitch!$A$2:$B$129,2,FALSE)</f>
        <v>B1</v>
      </c>
      <c r="D49" s="14" t="s">
        <v>503</v>
      </c>
      <c r="E49" s="14" t="s">
        <v>560</v>
      </c>
      <c r="F49" s="14"/>
    </row>
    <row r="50" spans="1:6">
      <c r="A50" s="7">
        <v>48</v>
      </c>
      <c r="B50" s="7">
        <v>48</v>
      </c>
      <c r="C50" t="str">
        <f>VLOOKUP(B50,_Pitch!$A$2:$B$129,2,FALSE)</f>
        <v>C2</v>
      </c>
      <c r="D50" s="14" t="s">
        <v>504</v>
      </c>
      <c r="E50" s="14" t="s">
        <v>206</v>
      </c>
      <c r="F50" s="14"/>
    </row>
    <row r="51" spans="1:6">
      <c r="A51" s="7">
        <v>49</v>
      </c>
      <c r="B51" s="7">
        <v>49</v>
      </c>
      <c r="C51" t="str">
        <f>VLOOKUP(B51,_Pitch!$A$2:$B$129,2,FALSE)</f>
        <v>C#2</v>
      </c>
      <c r="D51" s="14" t="s">
        <v>505</v>
      </c>
      <c r="E51" s="14" t="s">
        <v>568</v>
      </c>
      <c r="F51" s="14"/>
    </row>
    <row r="52" spans="1:6">
      <c r="A52" s="7">
        <v>50</v>
      </c>
      <c r="B52" s="7">
        <v>50</v>
      </c>
      <c r="C52" t="str">
        <f>VLOOKUP(B52,_Pitch!$A$2:$B$129,2,FALSE)</f>
        <v>D2</v>
      </c>
      <c r="D52" s="14" t="s">
        <v>506</v>
      </c>
      <c r="E52" s="14" t="s">
        <v>209</v>
      </c>
      <c r="F52" s="14"/>
    </row>
    <row r="53" spans="1:6">
      <c r="A53" s="7">
        <v>51</v>
      </c>
      <c r="B53" s="7">
        <v>51</v>
      </c>
      <c r="C53" t="str">
        <f>VLOOKUP(B53,_Pitch!$A$2:$B$129,2,FALSE)</f>
        <v>D#2</v>
      </c>
      <c r="D53" s="14" t="s">
        <v>507</v>
      </c>
      <c r="E53" s="14" t="s">
        <v>175</v>
      </c>
      <c r="F53" s="14"/>
    </row>
    <row r="54" spans="1:6">
      <c r="A54" s="7">
        <v>52</v>
      </c>
      <c r="B54" s="7">
        <v>52</v>
      </c>
      <c r="C54" t="str">
        <f>VLOOKUP(B54,_Pitch!$A$2:$B$129,2,FALSE)</f>
        <v>E2</v>
      </c>
      <c r="D54" s="14" t="s">
        <v>508</v>
      </c>
      <c r="E54" s="14" t="s">
        <v>179</v>
      </c>
      <c r="F54" s="14"/>
    </row>
    <row r="55" spans="1:6">
      <c r="A55" s="7">
        <v>53</v>
      </c>
      <c r="B55" s="7">
        <v>53</v>
      </c>
      <c r="C55" t="str">
        <f>VLOOKUP(B55,_Pitch!$A$2:$B$129,2,FALSE)</f>
        <v>F2</v>
      </c>
      <c r="D55" s="14" t="s">
        <v>509</v>
      </c>
      <c r="E55" s="14" t="s">
        <v>181</v>
      </c>
      <c r="F55" s="14"/>
    </row>
    <row r="56" spans="1:6">
      <c r="A56" s="7">
        <v>54</v>
      </c>
      <c r="B56" s="7">
        <v>54</v>
      </c>
      <c r="C56" t="str">
        <f>VLOOKUP(B56,_Pitch!$A$2:$B$129,2,FALSE)</f>
        <v>F#2</v>
      </c>
      <c r="D56" s="14" t="s">
        <v>510</v>
      </c>
      <c r="E56" s="14" t="s">
        <v>212</v>
      </c>
      <c r="F56" s="14"/>
    </row>
    <row r="57" spans="1:6">
      <c r="A57" s="7">
        <v>55</v>
      </c>
      <c r="B57" s="7">
        <v>55</v>
      </c>
      <c r="C57" t="str">
        <f>VLOOKUP(B57,_Pitch!$A$2:$B$129,2,FALSE)</f>
        <v>G2</v>
      </c>
      <c r="D57" s="14" t="s">
        <v>511</v>
      </c>
      <c r="E57" s="14" t="s">
        <v>569</v>
      </c>
      <c r="F57" s="14"/>
    </row>
    <row r="58" spans="1:6">
      <c r="A58" s="7">
        <v>56</v>
      </c>
      <c r="B58" s="7">
        <v>56</v>
      </c>
      <c r="C58" t="str">
        <f>VLOOKUP(B58,_Pitch!$A$2:$B$129,2,FALSE)</f>
        <v>G#2</v>
      </c>
      <c r="D58" s="14" t="s">
        <v>512</v>
      </c>
      <c r="E58" s="14" t="s">
        <v>215</v>
      </c>
      <c r="F58" s="14"/>
    </row>
    <row r="59" spans="1:6">
      <c r="A59" s="7">
        <v>57</v>
      </c>
      <c r="B59" s="7">
        <v>57</v>
      </c>
      <c r="C59" t="str">
        <f>VLOOKUP(B59,_Pitch!$A$2:$B$129,2,FALSE)</f>
        <v>A2</v>
      </c>
      <c r="D59" s="14" t="s">
        <v>513</v>
      </c>
      <c r="E59" s="14" t="s">
        <v>905</v>
      </c>
      <c r="F59" s="14"/>
    </row>
    <row r="60" spans="1:6">
      <c r="A60" s="7">
        <v>58</v>
      </c>
      <c r="B60" s="7">
        <v>58</v>
      </c>
      <c r="C60" t="str">
        <f>VLOOKUP(B60,_Pitch!$A$2:$B$129,2,FALSE)</f>
        <v>A#2</v>
      </c>
      <c r="D60" s="14" t="s">
        <v>514</v>
      </c>
      <c r="E60" s="14" t="s">
        <v>915</v>
      </c>
      <c r="F60" s="14"/>
    </row>
    <row r="61" spans="1:6">
      <c r="A61" s="7">
        <v>59</v>
      </c>
      <c r="B61" s="7">
        <v>59</v>
      </c>
      <c r="C61" t="str">
        <f>VLOOKUP(B61,_Pitch!$A$2:$B$129,2,FALSE)</f>
        <v>B2</v>
      </c>
      <c r="D61" s="14" t="s">
        <v>515</v>
      </c>
      <c r="E61" s="14" t="s">
        <v>904</v>
      </c>
      <c r="F61" s="14"/>
    </row>
    <row r="62" spans="1:6">
      <c r="A62" s="7">
        <v>60</v>
      </c>
      <c r="B62" s="7">
        <v>60</v>
      </c>
      <c r="C62" t="str">
        <f>VLOOKUP(B62,_Pitch!$A$2:$B$129,2,FALSE)</f>
        <v>C3</v>
      </c>
      <c r="D62" s="14" t="s">
        <v>516</v>
      </c>
      <c r="E62" s="14" t="s">
        <v>135</v>
      </c>
      <c r="F62" s="14"/>
    </row>
    <row r="63" spans="1:6">
      <c r="A63" s="7">
        <v>61</v>
      </c>
      <c r="B63" s="7">
        <v>61</v>
      </c>
      <c r="C63" t="str">
        <f>VLOOKUP(B63,_Pitch!$A$2:$B$129,2,FALSE)</f>
        <v>C#3</v>
      </c>
      <c r="D63" s="14" t="s">
        <v>517</v>
      </c>
      <c r="E63" s="14" t="s">
        <v>144</v>
      </c>
      <c r="F63" s="14"/>
    </row>
    <row r="64" spans="1:6">
      <c r="A64" s="7">
        <v>62</v>
      </c>
      <c r="B64" s="7">
        <v>62</v>
      </c>
      <c r="C64" t="str">
        <f>VLOOKUP(B64,_Pitch!$A$2:$B$129,2,FALSE)</f>
        <v>D3</v>
      </c>
      <c r="D64" s="14" t="s">
        <v>518</v>
      </c>
      <c r="E64" s="14" t="s">
        <v>140</v>
      </c>
      <c r="F64" s="14"/>
    </row>
    <row r="65" spans="1:6">
      <c r="A65" s="7">
        <v>63</v>
      </c>
      <c r="B65" s="7">
        <v>63</v>
      </c>
      <c r="C65" t="str">
        <f>VLOOKUP(B65,_Pitch!$A$2:$B$129,2,FALSE)</f>
        <v>D#3</v>
      </c>
      <c r="D65" s="14" t="s">
        <v>519</v>
      </c>
      <c r="E65" s="14" t="s">
        <v>565</v>
      </c>
      <c r="F65" s="14"/>
    </row>
    <row r="66" spans="1:6">
      <c r="A66" s="7">
        <v>64</v>
      </c>
      <c r="B66" s="7">
        <v>64</v>
      </c>
      <c r="C66" t="str">
        <f>VLOOKUP(B66,_Pitch!$A$2:$B$129,2,FALSE)</f>
        <v>E3</v>
      </c>
      <c r="D66" s="14" t="s">
        <v>639</v>
      </c>
      <c r="E66" s="14" t="s">
        <v>640</v>
      </c>
      <c r="F66" s="14"/>
    </row>
    <row r="67" spans="1:6">
      <c r="A67" s="7">
        <v>65</v>
      </c>
      <c r="B67" s="7">
        <v>65</v>
      </c>
      <c r="C67" t="str">
        <f>VLOOKUP(B67,_Pitch!$A$2:$B$129,2,FALSE)</f>
        <v>F3</v>
      </c>
      <c r="D67" s="14" t="s">
        <v>520</v>
      </c>
      <c r="E67" s="14" t="s">
        <v>203</v>
      </c>
      <c r="F67" s="14"/>
    </row>
    <row r="68" spans="1:6">
      <c r="A68" s="7">
        <v>66</v>
      </c>
      <c r="B68" s="7">
        <v>66</v>
      </c>
      <c r="C68" t="str">
        <f>VLOOKUP(B68,_Pitch!$A$2:$B$129,2,FALSE)</f>
        <v>F#3</v>
      </c>
      <c r="D68" s="14" t="s">
        <v>521</v>
      </c>
      <c r="E68" s="14" t="s">
        <v>154</v>
      </c>
      <c r="F68" s="14"/>
    </row>
    <row r="69" spans="1:6">
      <c r="A69" s="7">
        <v>67</v>
      </c>
      <c r="B69" s="7">
        <v>67</v>
      </c>
      <c r="C69" t="str">
        <f>VLOOKUP(B69,_Pitch!$A$2:$B$129,2,FALSE)</f>
        <v>G3</v>
      </c>
      <c r="D69" s="14" t="s">
        <v>522</v>
      </c>
      <c r="E69" s="14" t="s">
        <v>198</v>
      </c>
      <c r="F69" s="14"/>
    </row>
    <row r="70" spans="1:6">
      <c r="A70" s="7">
        <v>68</v>
      </c>
      <c r="B70" s="7">
        <v>68</v>
      </c>
      <c r="C70" t="str">
        <f>VLOOKUP(B70,_Pitch!$A$2:$B$129,2,FALSE)</f>
        <v>G#3</v>
      </c>
      <c r="D70" s="14" t="s">
        <v>523</v>
      </c>
      <c r="E70" s="14" t="s">
        <v>149</v>
      </c>
      <c r="F70" s="14"/>
    </row>
    <row r="71" spans="1:6">
      <c r="A71" s="7">
        <v>69</v>
      </c>
      <c r="B71" s="7">
        <v>69</v>
      </c>
      <c r="C71" t="str">
        <f>VLOOKUP(B71,_Pitch!$A$2:$B$129,2,FALSE)</f>
        <v>A3</v>
      </c>
      <c r="D71" s="14" t="s">
        <v>524</v>
      </c>
      <c r="E71" s="14" t="s">
        <v>191</v>
      </c>
      <c r="F71" s="14"/>
    </row>
    <row r="72" spans="1:6">
      <c r="A72" s="7">
        <v>70</v>
      </c>
      <c r="B72" s="7">
        <v>70</v>
      </c>
      <c r="C72" t="str">
        <f>VLOOKUP(B72,_Pitch!$A$2:$B$129,2,FALSE)</f>
        <v>A#3</v>
      </c>
      <c r="D72" s="14" t="s">
        <v>525</v>
      </c>
      <c r="E72" s="14" t="s">
        <v>403</v>
      </c>
      <c r="F72" s="14"/>
    </row>
    <row r="73" spans="1:6">
      <c r="A73" s="7">
        <v>71</v>
      </c>
      <c r="B73" s="7">
        <v>71</v>
      </c>
      <c r="C73" t="str">
        <f>VLOOKUP(B73,_Pitch!$A$2:$B$129,2,FALSE)</f>
        <v>B3</v>
      </c>
      <c r="D73" s="14" t="s">
        <v>526</v>
      </c>
      <c r="E73" s="14" t="s">
        <v>189</v>
      </c>
      <c r="F73" s="14"/>
    </row>
    <row r="74" spans="1:6">
      <c r="A74" s="7">
        <v>72</v>
      </c>
      <c r="B74" s="7">
        <v>72</v>
      </c>
      <c r="C74" t="str">
        <f>VLOOKUP(B74,_Pitch!$A$2:$B$129,2,FALSE)</f>
        <v>C4</v>
      </c>
      <c r="D74" s="14" t="s">
        <v>527</v>
      </c>
      <c r="E74" s="14" t="s">
        <v>204</v>
      </c>
      <c r="F74" s="14" t="s">
        <v>663</v>
      </c>
    </row>
    <row r="75" spans="1:6">
      <c r="A75" s="7">
        <v>73</v>
      </c>
      <c r="B75" s="7">
        <v>73</v>
      </c>
      <c r="C75" t="str">
        <f>VLOOKUP(B75,_Pitch!$A$2:$B$129,2,FALSE)</f>
        <v>C#4</v>
      </c>
      <c r="D75" s="14" t="s">
        <v>528</v>
      </c>
      <c r="E75" s="14" t="s">
        <v>199</v>
      </c>
      <c r="F75" s="14" t="s">
        <v>663</v>
      </c>
    </row>
    <row r="76" spans="1:6">
      <c r="A76" s="7">
        <v>74</v>
      </c>
      <c r="B76" s="7">
        <v>74</v>
      </c>
      <c r="C76" t="str">
        <f>VLOOKUP(B76,_Pitch!$A$2:$B$129,2,FALSE)</f>
        <v>D4</v>
      </c>
      <c r="D76" s="14" t="s">
        <v>529</v>
      </c>
      <c r="E76" s="14" t="s">
        <v>1003</v>
      </c>
      <c r="F76" s="14" t="s">
        <v>663</v>
      </c>
    </row>
    <row r="77" spans="1:6">
      <c r="A77" s="7">
        <v>75</v>
      </c>
      <c r="B77" s="7">
        <v>75</v>
      </c>
      <c r="C77" t="str">
        <f>VLOOKUP(B77,_Pitch!$A$2:$B$129,2,FALSE)</f>
        <v>D#4</v>
      </c>
      <c r="D77" s="14" t="s">
        <v>530</v>
      </c>
      <c r="E77" s="14" t="s">
        <v>998</v>
      </c>
      <c r="F77" s="14" t="s">
        <v>663</v>
      </c>
    </row>
    <row r="78" spans="1:6">
      <c r="A78" s="7">
        <v>76</v>
      </c>
      <c r="B78" s="7">
        <v>76</v>
      </c>
      <c r="C78" t="str">
        <f>VLOOKUP(B78,_Pitch!$A$2:$B$129,2,FALSE)</f>
        <v>E4</v>
      </c>
      <c r="D78" s="14" t="s">
        <v>531</v>
      </c>
      <c r="E78" s="14" t="s">
        <v>156</v>
      </c>
      <c r="F78" s="14"/>
    </row>
    <row r="79" spans="1:6">
      <c r="A79" s="7">
        <v>77</v>
      </c>
      <c r="B79" s="7">
        <v>77</v>
      </c>
      <c r="C79" t="str">
        <f>VLOOKUP(B79,_Pitch!$A$2:$B$129,2,FALSE)</f>
        <v>F4</v>
      </c>
      <c r="D79" s="14" t="s">
        <v>532</v>
      </c>
      <c r="E79" s="14" t="s">
        <v>159</v>
      </c>
      <c r="F79" s="14"/>
    </row>
    <row r="80" spans="1:6">
      <c r="A80" s="7">
        <v>78</v>
      </c>
      <c r="B80" s="7">
        <v>78</v>
      </c>
      <c r="C80" t="str">
        <f>VLOOKUP(B80,_Pitch!$A$2:$B$129,2,FALSE)</f>
        <v>F#4</v>
      </c>
      <c r="D80" s="14" t="s">
        <v>533</v>
      </c>
      <c r="E80" s="14" t="s">
        <v>160</v>
      </c>
      <c r="F80" s="14"/>
    </row>
    <row r="81" spans="1:6">
      <c r="A81" s="7">
        <v>79</v>
      </c>
      <c r="B81" s="7">
        <v>79</v>
      </c>
      <c r="C81" t="str">
        <f>VLOOKUP(B81,_Pitch!$A$2:$B$129,2,FALSE)</f>
        <v>G4</v>
      </c>
      <c r="D81" s="14" t="s">
        <v>534</v>
      </c>
      <c r="E81" s="14" t="s">
        <v>161</v>
      </c>
      <c r="F81" s="14"/>
    </row>
    <row r="82" spans="1:6">
      <c r="A82" s="7">
        <v>80</v>
      </c>
      <c r="B82" s="7">
        <v>80</v>
      </c>
      <c r="C82" t="str">
        <f>VLOOKUP(B82,_Pitch!$A$2:$B$129,2,FALSE)</f>
        <v>G#4</v>
      </c>
      <c r="D82" s="14" t="s">
        <v>535</v>
      </c>
      <c r="E82" s="14" t="s">
        <v>162</v>
      </c>
      <c r="F82" s="14"/>
    </row>
    <row r="83" spans="1:6">
      <c r="A83" s="7">
        <v>81</v>
      </c>
      <c r="B83" s="7">
        <v>81</v>
      </c>
      <c r="C83" t="str">
        <f>VLOOKUP(B83,_Pitch!$A$2:$B$129,2,FALSE)</f>
        <v>A4</v>
      </c>
      <c r="D83" s="14" t="s">
        <v>536</v>
      </c>
      <c r="E83" s="14" t="s">
        <v>589</v>
      </c>
      <c r="F83" s="14" t="s">
        <v>663</v>
      </c>
    </row>
    <row r="84" spans="1:6">
      <c r="A84" s="7">
        <v>82</v>
      </c>
      <c r="B84" s="7">
        <v>82</v>
      </c>
      <c r="C84" t="str">
        <f>VLOOKUP(B84,_Pitch!$A$2:$B$129,2,FALSE)</f>
        <v>A#4</v>
      </c>
      <c r="D84" s="14"/>
      <c r="E84" s="14"/>
      <c r="F84" s="14"/>
    </row>
    <row r="85" spans="1:6">
      <c r="A85" s="7">
        <v>83</v>
      </c>
      <c r="B85" s="7">
        <v>83</v>
      </c>
      <c r="C85" t="str">
        <f>VLOOKUP(B85,_Pitch!$A$2:$B$129,2,FALSE)</f>
        <v>B4</v>
      </c>
      <c r="D85" s="14" t="s">
        <v>537</v>
      </c>
      <c r="E85" s="14" t="s">
        <v>603</v>
      </c>
      <c r="F85" s="14" t="s">
        <v>663</v>
      </c>
    </row>
    <row r="86" spans="1:6">
      <c r="A86" s="7">
        <v>84</v>
      </c>
      <c r="B86" s="7">
        <v>84</v>
      </c>
      <c r="C86" t="str">
        <f>VLOOKUP(B86,_Pitch!$A$2:$B$129,2,FALSE)</f>
        <v>C5</v>
      </c>
      <c r="D86" s="14" t="s">
        <v>538</v>
      </c>
      <c r="E86" s="14" t="s">
        <v>642</v>
      </c>
      <c r="F86" s="14" t="s">
        <v>663</v>
      </c>
    </row>
    <row r="87" spans="1:6">
      <c r="A87" s="7">
        <v>85</v>
      </c>
      <c r="B87" s="7">
        <v>85</v>
      </c>
      <c r="C87" t="str">
        <f>VLOOKUP(B87,_Pitch!$A$2:$B$129,2,FALSE)</f>
        <v>C#5</v>
      </c>
      <c r="D87" s="14" t="s">
        <v>539</v>
      </c>
      <c r="E87" s="14" t="s">
        <v>635</v>
      </c>
      <c r="F87" s="14" t="s">
        <v>663</v>
      </c>
    </row>
    <row r="88" spans="1:6">
      <c r="A88" s="7">
        <v>86</v>
      </c>
      <c r="B88" s="7">
        <v>86</v>
      </c>
      <c r="C88" t="str">
        <f>VLOOKUP(B88,_Pitch!$A$2:$B$129,2,FALSE)</f>
        <v>D5</v>
      </c>
      <c r="D88" s="14" t="s">
        <v>540</v>
      </c>
      <c r="E88" s="14" t="s">
        <v>644</v>
      </c>
      <c r="F88" s="14" t="s">
        <v>663</v>
      </c>
    </row>
    <row r="89" spans="1:6">
      <c r="A89" s="7">
        <v>87</v>
      </c>
      <c r="B89" s="7">
        <v>87</v>
      </c>
      <c r="C89" t="str">
        <f>VLOOKUP(B89,_Pitch!$A$2:$B$129,2,FALSE)</f>
        <v>D#5</v>
      </c>
      <c r="D89" s="14" t="s">
        <v>541</v>
      </c>
      <c r="E89" s="14" t="s">
        <v>637</v>
      </c>
      <c r="F89" s="14" t="s">
        <v>663</v>
      </c>
    </row>
    <row r="90" spans="1:6">
      <c r="A90" s="7">
        <v>88</v>
      </c>
      <c r="B90" s="7">
        <v>88</v>
      </c>
      <c r="C90" t="str">
        <f>VLOOKUP(B90,_Pitch!$A$2:$B$129,2,FALSE)</f>
        <v>E5</v>
      </c>
      <c r="D90" s="14" t="s">
        <v>542</v>
      </c>
      <c r="E90" s="14" t="s">
        <v>623</v>
      </c>
      <c r="F90" s="14" t="s">
        <v>663</v>
      </c>
    </row>
    <row r="91" spans="1:6">
      <c r="A91" s="7">
        <v>89</v>
      </c>
      <c r="B91" s="7">
        <v>89</v>
      </c>
      <c r="C91" t="str">
        <f>VLOOKUP(B91,_Pitch!$A$2:$B$129,2,FALSE)</f>
        <v>F5</v>
      </c>
      <c r="D91" s="14" t="s">
        <v>543</v>
      </c>
      <c r="E91" s="14" t="s">
        <v>625</v>
      </c>
      <c r="F91" s="14" t="s">
        <v>663</v>
      </c>
    </row>
    <row r="92" spans="1:6">
      <c r="A92" s="7">
        <v>90</v>
      </c>
      <c r="B92" s="7">
        <v>90</v>
      </c>
      <c r="C92" t="str">
        <f>VLOOKUP(B92,_Pitch!$A$2:$B$129,2,FALSE)</f>
        <v>F#5</v>
      </c>
      <c r="D92" s="14" t="s">
        <v>544</v>
      </c>
      <c r="E92" s="14" t="s">
        <v>631</v>
      </c>
      <c r="F92" s="14" t="s">
        <v>663</v>
      </c>
    </row>
    <row r="93" spans="1:6">
      <c r="A93" s="7">
        <v>91</v>
      </c>
      <c r="B93" s="7">
        <v>91</v>
      </c>
      <c r="C93" t="str">
        <f>VLOOKUP(B93,_Pitch!$A$2:$B$129,2,FALSE)</f>
        <v>G5</v>
      </c>
      <c r="D93" s="14" t="s">
        <v>545</v>
      </c>
      <c r="E93" s="14" t="s">
        <v>619</v>
      </c>
      <c r="F93" s="14" t="s">
        <v>663</v>
      </c>
    </row>
    <row r="94" spans="1:6">
      <c r="A94" s="7">
        <v>92</v>
      </c>
      <c r="B94" s="7">
        <v>92</v>
      </c>
      <c r="C94" t="str">
        <f>VLOOKUP(B94,_Pitch!$A$2:$B$129,2,FALSE)</f>
        <v>G#5</v>
      </c>
      <c r="D94" s="14" t="s">
        <v>546</v>
      </c>
      <c r="E94" s="14" t="s">
        <v>633</v>
      </c>
      <c r="F94" s="14" t="s">
        <v>663</v>
      </c>
    </row>
    <row r="95" spans="1:6">
      <c r="A95" s="7">
        <v>93</v>
      </c>
      <c r="B95" s="7">
        <v>93</v>
      </c>
      <c r="C95" t="str">
        <f>VLOOKUP(B95,_Pitch!$A$2:$B$129,2,FALSE)</f>
        <v>A5</v>
      </c>
      <c r="D95" s="14" t="s">
        <v>547</v>
      </c>
      <c r="E95" s="14" t="s">
        <v>621</v>
      </c>
      <c r="F95" s="14" t="s">
        <v>663</v>
      </c>
    </row>
    <row r="96" spans="1:6">
      <c r="A96" s="7">
        <v>94</v>
      </c>
      <c r="B96" s="7">
        <v>94</v>
      </c>
      <c r="C96" t="str">
        <f>VLOOKUP(B96,_Pitch!$A$2:$B$129,2,FALSE)</f>
        <v>A#5</v>
      </c>
      <c r="D96" s="14" t="s">
        <v>548</v>
      </c>
      <c r="E96" s="14" t="s">
        <v>627</v>
      </c>
      <c r="F96" s="14" t="s">
        <v>663</v>
      </c>
    </row>
    <row r="97" spans="1:6">
      <c r="A97" s="7">
        <v>95</v>
      </c>
      <c r="B97" s="7">
        <v>95</v>
      </c>
      <c r="C97" t="str">
        <f>VLOOKUP(B97,_Pitch!$A$2:$B$129,2,FALSE)</f>
        <v>B5</v>
      </c>
      <c r="D97" s="14" t="s">
        <v>549</v>
      </c>
      <c r="E97" s="14" t="s">
        <v>1001</v>
      </c>
      <c r="F97" s="14" t="s">
        <v>663</v>
      </c>
    </row>
    <row r="98" spans="1:6">
      <c r="A98" s="7">
        <v>96</v>
      </c>
      <c r="B98" s="7">
        <v>96</v>
      </c>
      <c r="C98" t="str">
        <f>VLOOKUP(B98,_Pitch!$A$2:$B$129,2,FALSE)</f>
        <v>C6</v>
      </c>
      <c r="D98" s="14" t="s">
        <v>550</v>
      </c>
      <c r="E98" s="14" t="s">
        <v>1002</v>
      </c>
      <c r="F98" s="14" t="s">
        <v>663</v>
      </c>
    </row>
    <row r="99" spans="1:6">
      <c r="A99" s="7">
        <v>97</v>
      </c>
      <c r="B99" s="7">
        <v>97</v>
      </c>
      <c r="C99" t="str">
        <f>VLOOKUP(B99,_Pitch!$A$2:$B$129,2,FALSE)</f>
        <v>C#6</v>
      </c>
      <c r="D99" s="14" t="s">
        <v>551</v>
      </c>
      <c r="E99" s="14" t="s">
        <v>629</v>
      </c>
      <c r="F99" s="14" t="s">
        <v>663</v>
      </c>
    </row>
    <row r="100" spans="1:6">
      <c r="A100" s="7">
        <v>98</v>
      </c>
      <c r="B100" s="7">
        <v>98</v>
      </c>
      <c r="C100" t="str">
        <f>VLOOKUP(B100,_Pitch!$A$2:$B$129,2,FALSE)</f>
        <v>D6</v>
      </c>
      <c r="D100" s="14" t="s">
        <v>552</v>
      </c>
      <c r="E100" s="14" t="s">
        <v>996</v>
      </c>
      <c r="F100" s="14" t="s">
        <v>663</v>
      </c>
    </row>
    <row r="101" spans="1:6">
      <c r="A101" s="7">
        <v>99</v>
      </c>
      <c r="B101" s="7">
        <v>99</v>
      </c>
      <c r="C101" t="str">
        <f>VLOOKUP(B101,_Pitch!$A$2:$B$129,2,FALSE)</f>
        <v>D#6</v>
      </c>
      <c r="D101" s="14"/>
      <c r="E101" s="14"/>
      <c r="F101" s="14"/>
    </row>
    <row r="102" spans="1:6">
      <c r="A102" s="7">
        <v>100</v>
      </c>
      <c r="B102" s="7">
        <v>100</v>
      </c>
      <c r="C102" t="str">
        <f>VLOOKUP(B102,_Pitch!$A$2:$B$129,2,FALSE)</f>
        <v>E6</v>
      </c>
      <c r="D102" s="14" t="s">
        <v>553</v>
      </c>
      <c r="E102" s="14" t="s">
        <v>997</v>
      </c>
      <c r="F102" s="14" t="s">
        <v>663</v>
      </c>
    </row>
    <row r="103" spans="1:6">
      <c r="A103" s="7">
        <v>101</v>
      </c>
      <c r="B103" s="7">
        <v>101</v>
      </c>
      <c r="C103" t="str">
        <f>VLOOKUP(B103,_Pitch!$A$2:$B$129,2,FALSE)</f>
        <v>F6</v>
      </c>
      <c r="D103" s="14"/>
      <c r="E103" s="14"/>
      <c r="F103" s="14"/>
    </row>
    <row r="104" spans="1:6">
      <c r="A104" s="7">
        <v>102</v>
      </c>
      <c r="B104" s="7">
        <v>102</v>
      </c>
      <c r="C104" t="str">
        <f>VLOOKUP(B104,_Pitch!$A$2:$B$129,2,FALSE)</f>
        <v>F#6</v>
      </c>
      <c r="D104" s="14"/>
      <c r="E104" s="14"/>
      <c r="F104" s="14"/>
    </row>
    <row r="105" spans="1:6">
      <c r="A105" s="7">
        <v>103</v>
      </c>
      <c r="B105" s="7">
        <v>103</v>
      </c>
      <c r="C105" t="str">
        <f>VLOOKUP(B105,_Pitch!$A$2:$B$129,2,FALSE)</f>
        <v>G6</v>
      </c>
      <c r="D105" s="14"/>
      <c r="E105" s="14"/>
      <c r="F105" s="14"/>
    </row>
    <row r="106" spans="1:6">
      <c r="A106" s="7">
        <v>104</v>
      </c>
      <c r="B106" s="7">
        <v>104</v>
      </c>
      <c r="C106" t="str">
        <f>VLOOKUP(B106,_Pitch!$A$2:$B$129,2,FALSE)</f>
        <v>G#6</v>
      </c>
      <c r="D106" s="14"/>
      <c r="E106" s="14"/>
      <c r="F106" s="14"/>
    </row>
    <row r="107" spans="1:6">
      <c r="A107" s="7">
        <v>105</v>
      </c>
      <c r="B107" s="7">
        <v>105</v>
      </c>
      <c r="C107" t="str">
        <f>VLOOKUP(B107,_Pitch!$A$2:$B$129,2,FALSE)</f>
        <v>A6</v>
      </c>
      <c r="D107" s="14"/>
      <c r="E107" s="14"/>
      <c r="F107" s="14"/>
    </row>
    <row r="108" spans="1:6">
      <c r="A108" s="7">
        <v>106</v>
      </c>
      <c r="B108" s="7">
        <v>106</v>
      </c>
      <c r="C108" t="str">
        <f>VLOOKUP(B108,_Pitch!$A$2:$B$129,2,FALSE)</f>
        <v>A#6</v>
      </c>
      <c r="D108" s="14"/>
      <c r="E108" s="14"/>
      <c r="F108" s="14"/>
    </row>
    <row r="109" spans="1:6">
      <c r="A109" s="7">
        <v>107</v>
      </c>
      <c r="B109" s="7">
        <v>107</v>
      </c>
      <c r="C109" t="str">
        <f>VLOOKUP(B109,_Pitch!$A$2:$B$129,2,FALSE)</f>
        <v>B6</v>
      </c>
      <c r="D109" s="14"/>
      <c r="E109" s="14"/>
      <c r="F109" s="14"/>
    </row>
    <row r="110" spans="1:6">
      <c r="A110" s="7">
        <v>108</v>
      </c>
      <c r="B110" s="7">
        <v>108</v>
      </c>
      <c r="C110" t="str">
        <f>VLOOKUP(B110,_Pitch!$A$2:$B$129,2,FALSE)</f>
        <v>C7</v>
      </c>
      <c r="D110" s="14"/>
      <c r="E110" s="14"/>
      <c r="F110" s="14"/>
    </row>
    <row r="111" spans="1:6">
      <c r="A111" s="7">
        <v>109</v>
      </c>
      <c r="B111" s="7">
        <v>109</v>
      </c>
      <c r="C111" t="str">
        <f>VLOOKUP(B111,_Pitch!$A$2:$B$129,2,FALSE)</f>
        <v>C#7</v>
      </c>
      <c r="D111" s="14"/>
      <c r="E111" s="14"/>
      <c r="F111" s="14"/>
    </row>
    <row r="112" spans="1:6">
      <c r="A112" s="7">
        <v>110</v>
      </c>
      <c r="B112" s="7">
        <v>110</v>
      </c>
      <c r="C112" t="str">
        <f>VLOOKUP(B112,_Pitch!$A$2:$B$129,2,FALSE)</f>
        <v>D7</v>
      </c>
      <c r="D112" s="14"/>
      <c r="E112" s="14"/>
      <c r="F112" s="14"/>
    </row>
    <row r="113" spans="1:6">
      <c r="A113" s="7">
        <v>111</v>
      </c>
      <c r="B113" s="7">
        <v>111</v>
      </c>
      <c r="C113" t="str">
        <f>VLOOKUP(B113,_Pitch!$A$2:$B$129,2,FALSE)</f>
        <v>D#7</v>
      </c>
      <c r="D113" s="14"/>
      <c r="E113" s="14"/>
      <c r="F113" s="14"/>
    </row>
    <row r="114" spans="1:6">
      <c r="A114" s="7">
        <v>112</v>
      </c>
      <c r="B114" s="7">
        <v>112</v>
      </c>
      <c r="C114" t="str">
        <f>VLOOKUP(B114,_Pitch!$A$2:$B$129,2,FALSE)</f>
        <v>E7</v>
      </c>
      <c r="D114" s="14"/>
      <c r="E114" s="14"/>
      <c r="F114" s="14"/>
    </row>
    <row r="115" spans="1:6">
      <c r="A115" s="7">
        <v>113</v>
      </c>
      <c r="B115" s="7">
        <v>113</v>
      </c>
      <c r="C115" t="str">
        <f>VLOOKUP(B115,_Pitch!$A$2:$B$129,2,FALSE)</f>
        <v>F7</v>
      </c>
      <c r="D115" s="14"/>
      <c r="E115" s="14"/>
      <c r="F115" s="14"/>
    </row>
    <row r="116" spans="1:6">
      <c r="A116" s="7">
        <v>114</v>
      </c>
      <c r="B116" s="7">
        <v>114</v>
      </c>
      <c r="C116" t="str">
        <f>VLOOKUP(B116,_Pitch!$A$2:$B$129,2,FALSE)</f>
        <v>F#7</v>
      </c>
      <c r="D116" s="14"/>
      <c r="E116" s="14"/>
      <c r="F116" s="14"/>
    </row>
    <row r="117" spans="1:6">
      <c r="A117" s="7">
        <v>115</v>
      </c>
      <c r="B117" s="7">
        <v>115</v>
      </c>
      <c r="C117" t="str">
        <f>VLOOKUP(B117,_Pitch!$A$2:$B$129,2,FALSE)</f>
        <v>G7</v>
      </c>
      <c r="D117" s="14"/>
      <c r="E117" s="14"/>
      <c r="F117" s="14"/>
    </row>
    <row r="118" spans="1:6">
      <c r="A118" s="7">
        <v>116</v>
      </c>
      <c r="B118" s="7">
        <v>116</v>
      </c>
      <c r="C118" t="str">
        <f>VLOOKUP(B118,_Pitch!$A$2:$B$129,2,FALSE)</f>
        <v>G#7</v>
      </c>
      <c r="D118" s="14"/>
      <c r="E118" s="14"/>
      <c r="F118" s="14"/>
    </row>
    <row r="119" spans="1:6">
      <c r="A119" s="7">
        <v>117</v>
      </c>
      <c r="B119" s="7">
        <v>117</v>
      </c>
      <c r="C119" t="str">
        <f>VLOOKUP(B119,_Pitch!$A$2:$B$129,2,FALSE)</f>
        <v>A7</v>
      </c>
      <c r="D119" s="14"/>
      <c r="E119" s="14"/>
      <c r="F119" s="14"/>
    </row>
    <row r="120" spans="1:6">
      <c r="A120" s="7">
        <v>118</v>
      </c>
      <c r="B120" s="7">
        <v>118</v>
      </c>
      <c r="C120" t="str">
        <f>VLOOKUP(B120,_Pitch!$A$2:$B$129,2,FALSE)</f>
        <v>A#7</v>
      </c>
      <c r="D120" s="14"/>
      <c r="E120" s="14"/>
      <c r="F120" s="14"/>
    </row>
    <row r="121" spans="1:6">
      <c r="A121" s="7">
        <v>119</v>
      </c>
      <c r="B121" s="7">
        <v>119</v>
      </c>
      <c r="C121" t="str">
        <f>VLOOKUP(B121,_Pitch!$A$2:$B$129,2,FALSE)</f>
        <v>B7</v>
      </c>
      <c r="D121" s="14"/>
      <c r="E121" s="14"/>
      <c r="F121" s="14"/>
    </row>
    <row r="122" spans="1:6">
      <c r="A122" s="7">
        <v>120</v>
      </c>
      <c r="B122" s="7">
        <v>120</v>
      </c>
      <c r="C122" t="str">
        <f>VLOOKUP(B122,_Pitch!$A$2:$B$129,2,FALSE)</f>
        <v>C8</v>
      </c>
      <c r="D122" s="14"/>
      <c r="E122" s="14"/>
      <c r="F122" s="14"/>
    </row>
    <row r="123" spans="1:6">
      <c r="A123" s="7">
        <v>121</v>
      </c>
      <c r="B123" s="7">
        <v>121</v>
      </c>
      <c r="C123" t="str">
        <f>VLOOKUP(B123,_Pitch!$A$2:$B$129,2,FALSE)</f>
        <v>C#8</v>
      </c>
      <c r="D123" s="14"/>
      <c r="E123" s="14"/>
      <c r="F123" s="14"/>
    </row>
    <row r="124" spans="1:6">
      <c r="A124" s="7">
        <v>122</v>
      </c>
      <c r="B124" s="7">
        <v>122</v>
      </c>
      <c r="C124" t="str">
        <f>VLOOKUP(B124,_Pitch!$A$2:$B$129,2,FALSE)</f>
        <v>D8</v>
      </c>
      <c r="D124" s="14"/>
      <c r="E124" s="14"/>
      <c r="F124" s="14"/>
    </row>
    <row r="125" spans="1:6">
      <c r="A125" s="7">
        <v>123</v>
      </c>
      <c r="B125" s="7">
        <v>123</v>
      </c>
      <c r="C125" t="str">
        <f>VLOOKUP(B125,_Pitch!$A$2:$B$129,2,FALSE)</f>
        <v>D#8</v>
      </c>
      <c r="D125" s="14"/>
      <c r="E125" s="14"/>
      <c r="F125" s="14"/>
    </row>
    <row r="126" spans="1:6">
      <c r="A126" s="7">
        <v>124</v>
      </c>
      <c r="B126" s="7">
        <v>124</v>
      </c>
      <c r="C126" t="str">
        <f>VLOOKUP(B126,_Pitch!$A$2:$B$129,2,FALSE)</f>
        <v>E8</v>
      </c>
      <c r="D126" s="14"/>
      <c r="E126" s="14"/>
      <c r="F126" s="14"/>
    </row>
    <row r="127" spans="1:6">
      <c r="A127" s="7">
        <v>125</v>
      </c>
      <c r="B127" s="7">
        <v>125</v>
      </c>
      <c r="C127" t="str">
        <f>VLOOKUP(B127,_Pitch!$A$2:$B$129,2,FALSE)</f>
        <v>F8</v>
      </c>
      <c r="D127" s="14"/>
      <c r="E127" s="14"/>
      <c r="F127" s="14"/>
    </row>
    <row r="128" spans="1:6">
      <c r="A128" s="7">
        <v>126</v>
      </c>
      <c r="B128" s="7">
        <v>126</v>
      </c>
      <c r="C128" t="str">
        <f>VLOOKUP(B128,_Pitch!$A$2:$B$129,2,FALSE)</f>
        <v>F#8</v>
      </c>
      <c r="D128" s="14"/>
      <c r="E128" s="14"/>
      <c r="F128" s="14"/>
    </row>
    <row r="129" spans="1:6">
      <c r="A129" s="7">
        <v>127</v>
      </c>
      <c r="B129" s="7">
        <v>127</v>
      </c>
      <c r="C129" t="str">
        <f>VLOOKUP(B129,_Pitch!$A$2:$B$129,2,FALSE)</f>
        <v>G8</v>
      </c>
      <c r="D129" s="14"/>
      <c r="E129" s="14"/>
      <c r="F129" s="14"/>
    </row>
  </sheetData>
  <autoFilter ref="A1:G129" xr:uid="{A920F0F8-08EB-4A7D-BFDA-EEFFB8B1C34E}"/>
  <phoneticPr fontId="1"/>
  <dataValidations count="1">
    <dataValidation type="list" allowBlank="1" showInputMessage="1" showErrorMessage="1" sqref="F2:F129" xr:uid="{D582B183-0C0E-41F0-8EE0-8394BCA65254}">
      <formula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12FD719C-F29D-4794-ACB8-60764732948D}">
          <x14:formula1>
            <xm:f>_Articulation!$B$2:B$158</xm:f>
          </x14:formula1>
          <xm:sqref>E2:E129</xm:sqref>
        </x14:dataValidation>
      </x14:dataValidations>
    </ext>
  </extLst>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ワークシート</vt:lpstr>
      </vt:variant>
      <vt:variant>
        <vt:i4>31</vt:i4>
      </vt:variant>
    </vt:vector>
  </HeadingPairs>
  <TitlesOfParts>
    <vt:vector size="31" baseType="lpstr">
      <vt:lpstr>_Keyboard</vt:lpstr>
      <vt:lpstr>_Pitch</vt:lpstr>
      <vt:lpstr>_NoteHead</vt:lpstr>
      <vt:lpstr>_Techniq</vt:lpstr>
      <vt:lpstr>_Kit</vt:lpstr>
      <vt:lpstr>_Kit Piece</vt:lpstr>
      <vt:lpstr>_Articulation</vt:lpstr>
      <vt:lpstr>_path</vt:lpstr>
      <vt:lpstr>_work</vt:lpstr>
      <vt:lpstr>_ArticulationMap</vt:lpstr>
      <vt:lpstr>_template</vt:lpstr>
      <vt:lpstr>GM Custom</vt:lpstr>
      <vt:lpstr>Addictive Drums 2</vt:lpstr>
      <vt:lpstr>BFD3</vt:lpstr>
      <vt:lpstr>MODO DRUM</vt:lpstr>
      <vt:lpstr>SSD 5.5</vt:lpstr>
      <vt:lpstr>MT-Power Drum Kit 2</vt:lpstr>
      <vt:lpstr>GA Rock Kit</vt:lpstr>
      <vt:lpstr>GA Studio Kit</vt:lpstr>
      <vt:lpstr>GA Vintage Kit</vt:lpstr>
      <vt:lpstr>EZD3 Bright Room</vt:lpstr>
      <vt:lpstr>EZD3 Main Room</vt:lpstr>
      <vt:lpstr>EZD3 Tight Room</vt:lpstr>
      <vt:lpstr>EZX Jazz</vt:lpstr>
      <vt:lpstr>EZX Metal!</vt:lpstr>
      <vt:lpstr>SD3 CORE</vt:lpstr>
      <vt:lpstr>SDX Stories - iso A</vt:lpstr>
      <vt:lpstr>SDX Stories - iso B</vt:lpstr>
      <vt:lpstr>SDX Stories - Main</vt:lpstr>
      <vt:lpstr>SDX Hitmaker</vt:lpstr>
      <vt:lpstr>StudioDrummer - StadiumKit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cp:keywords/>
  <dcterms:created xsi:type="dcterms:W3CDTF">2024-09-06T04:03:38Z</dcterms:created>
  <dcterms:modified xsi:type="dcterms:W3CDTF">2024-10-05T02:09:20Z</dcterms:modified>
</cp:coreProperties>
</file>